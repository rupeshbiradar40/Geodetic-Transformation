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mc:AlternateContent xmlns:mc="http://schemas.openxmlformats.org/markup-compatibility/2006">
    <mc:Choice Requires="x15">
      <x15ac:absPath xmlns:x15ac="http://schemas.microsoft.com/office/spreadsheetml/2010/11/ac" url="C:\Users\Abhijeet Ingale\Desktop\Smart India Hackaton\"/>
    </mc:Choice>
  </mc:AlternateContent>
  <bookViews>
    <workbookView xWindow="0" yWindow="0" windowWidth="15345" windowHeight="4575" tabRatio="748" firstSheet="7" activeTab="11"/>
  </bookViews>
  <sheets>
    <sheet name="INTRODUCTION" sheetId="18" r:id="rId1"/>
    <sheet name="Constants" sheetId="1" r:id="rId2"/>
    <sheet name="Enter coordinates here" sheetId="2" r:id="rId3"/>
    <sheet name="Lat &amp; Long Format Conversions" sheetId="17" r:id="rId4"/>
    <sheet name="Helmert Transformation" sheetId="15" r:id="rId5"/>
    <sheet name="XYZ to lat,long,H" sheetId="13" r:id="rId6"/>
    <sheet name="lat,long to E,N" sheetId="3" r:id="rId7"/>
    <sheet name="E,N to lat,long" sheetId="4" r:id="rId8"/>
    <sheet name="lat,long,H to XYZ" sheetId="14" r:id="rId9"/>
    <sheet name="UD Funcs Tranformation Example" sheetId="16" r:id="rId10"/>
    <sheet name="convergence from lat &amp; long" sheetId="5" r:id="rId11"/>
    <sheet name="convergence from E,N" sheetId="6" r:id="rId12"/>
    <sheet name="local scale factor from lat,lon" sheetId="7" r:id="rId13"/>
    <sheet name="local &amp; line sf from E,N" sheetId="8" r:id="rId14"/>
    <sheet name="t-T correction from E,N" sheetId="9" r:id="rId15"/>
    <sheet name="true azimuth from E,N" sheetId="10" r:id="rId16"/>
  </sheets>
  <functionGroups builtInGroupCount="19"/>
  <definedNames>
    <definedName name="a">Constants!$B$4</definedName>
    <definedName name="aFo">Constants!$B$9</definedName>
    <definedName name="b">Constants!$B$5</definedName>
    <definedName name="bFo">Constants!$B$10</definedName>
    <definedName name="CartesianX">'Enter coordinates here'!$E$12</definedName>
    <definedName name="CartesianY">'Enter coordinates here'!$E$13</definedName>
    <definedName name="CartesianZ">'Enter coordinates here'!$E$14</definedName>
    <definedName name="DecimalLAM0">Constants!$H$5</definedName>
    <definedName name="DecimalLat">'Enter coordinates here'!$F$5</definedName>
    <definedName name="DecimalLong">'Enter coordinates here'!$F$6</definedName>
    <definedName name="DecimalPHI0">Constants!$H$4</definedName>
    <definedName name="DX">Constants!$B$22</definedName>
    <definedName name="DY">Constants!$B$23</definedName>
    <definedName name="DZ">Constants!$B$24</definedName>
    <definedName name="e_squared">'lat,long to E,N'!$B$7</definedName>
    <definedName name="E0">Constants!$B$7</definedName>
    <definedName name="East1">'Enter coordinates here'!$E$8</definedName>
    <definedName name="East2">'Enter coordinates here'!$E$10</definedName>
    <definedName name="EllHeight">'Enter coordinates here'!$E$7</definedName>
    <definedName name="Et">'E,N to lat,long'!$B$14</definedName>
    <definedName name="_eta2">'lat,long to E,N'!$B$11</definedName>
    <definedName name="eta2PL">'E,N to lat,long'!$B$12</definedName>
    <definedName name="F0">Constants!$B$6</definedName>
    <definedName name="H_Matrix">'Helmert Transformation'!$A$10:$C$12</definedName>
    <definedName name="I">'lat,long to E,N'!$B$14</definedName>
    <definedName name="II">'lat,long to E,N'!$B$15</definedName>
    <definedName name="III">'lat,long to E,N'!$B$16</definedName>
    <definedName name="IIIA">'lat,long to E,N'!$B$17</definedName>
    <definedName name="InitialPHI">'E,N to lat,long'!$G$8</definedName>
    <definedName name="IV">'lat,long to E,N'!$B$18</definedName>
    <definedName name="IX">'E,N to lat,long'!$B$17</definedName>
    <definedName name="LAM">'Enter coordinates here'!$G$6</definedName>
    <definedName name="LAM0">Constants!$I$5</definedName>
    <definedName name="M">'lat,long to E,N'!$B$13</definedName>
    <definedName name="mins">'lat,long to E,N'!#REF!</definedName>
    <definedName name="n">'lat,long to E,N'!$B$8</definedName>
    <definedName name="N0">Constants!$B$8</definedName>
    <definedName name="Nm">'t-T correction from E,N'!$B$10</definedName>
    <definedName name="North1">'Enter coordinates here'!$E$9</definedName>
    <definedName name="North2">'Enter coordinates here'!$E$11</definedName>
    <definedName name="nu">'lat,long to E,N'!$B$9</definedName>
    <definedName name="nuPL">'E,N to lat,long'!$B$10</definedName>
    <definedName name="P">'lat,long to E,N'!$B$12</definedName>
    <definedName name="PHI">'Enter coordinates here'!$G$5</definedName>
    <definedName name="PHI0">Constants!$I$4</definedName>
    <definedName name="rho">'lat,long to E,N'!$B$10</definedName>
    <definedName name="rhoPL">'E,N to lat,long'!$B$11</definedName>
    <definedName name="Scale">Constants!$B$25</definedName>
    <definedName name="secs">'lat,long to E,N'!#REF!</definedName>
    <definedName name="V">'lat,long to E,N'!$B$19</definedName>
    <definedName name="VI">'lat,long to E,N'!$B$20</definedName>
    <definedName name="VII">'E,N to lat,long'!$B$15</definedName>
    <definedName name="VIII">'E,N to lat,long'!$B$16</definedName>
    <definedName name="X">'E,N to lat,long'!$B$18</definedName>
    <definedName name="X_Rotation">Constants!$B$26</definedName>
    <definedName name="XI">'E,N to lat,long'!$B$19</definedName>
    <definedName name="XII">'E,N to lat,long'!$B$20</definedName>
    <definedName name="XIIA">'E,N to lat,long'!$B$21</definedName>
    <definedName name="XIII">'convergence from lat &amp; long'!$B$10</definedName>
    <definedName name="XIV">'convergence from lat &amp; long'!$B$11</definedName>
    <definedName name="XIX">'local scale factor from lat,lon'!$B$9</definedName>
    <definedName name="XV">'convergence from lat &amp; long'!$B$12</definedName>
    <definedName name="XVI">'convergence from E,N'!$B$12</definedName>
    <definedName name="XVII">'convergence from E,N'!$B$13</definedName>
    <definedName name="XVIII">'convergence from E,N'!$B$14</definedName>
    <definedName name="XX">'local scale factor from lat,lon'!$B$10</definedName>
    <definedName name="XXI">'local &amp; line sf from E,N'!$B$11</definedName>
    <definedName name="XXII">'local &amp; line sf from E,N'!$B$12</definedName>
    <definedName name="XXIII">'t-T correction from E,N'!$B$15</definedName>
    <definedName name="Y_Rotation">Constants!$B$27</definedName>
    <definedName name="Z_Rotation">Constants!$B$28</definedName>
  </definedNames>
  <calcPr calcId="162913" refMode="R1C1"/>
</workbook>
</file>

<file path=xl/calcChain.xml><?xml version="1.0" encoding="utf-8"?>
<calcChain xmlns="http://schemas.openxmlformats.org/spreadsheetml/2006/main">
  <c r="G8" i="13" l="1"/>
  <c r="B10" i="9"/>
  <c r="B9" i="1"/>
  <c r="B7" i="3" s="1"/>
  <c r="B10" i="1"/>
  <c r="B8" i="3"/>
  <c r="B14" i="4"/>
  <c r="F6" i="2"/>
  <c r="G6" i="2" s="1"/>
  <c r="B12" i="3" s="1"/>
  <c r="F5" i="2"/>
  <c r="G5" i="2" s="1"/>
  <c r="H5" i="1"/>
  <c r="I5" i="1" s="1"/>
  <c r="F9" i="10"/>
  <c r="B75" i="16"/>
  <c r="F12" i="16"/>
  <c r="F11" i="16"/>
  <c r="H4" i="1"/>
  <c r="I4" i="1"/>
  <c r="B11" i="6"/>
  <c r="B4" i="6"/>
  <c r="B3" i="6"/>
  <c r="E4" i="5"/>
  <c r="D4" i="5"/>
  <c r="C4" i="5"/>
  <c r="B4" i="5"/>
  <c r="E3" i="5"/>
  <c r="D3" i="5"/>
  <c r="C3" i="5"/>
  <c r="B3" i="5"/>
  <c r="B9" i="4"/>
  <c r="B4" i="4"/>
  <c r="B3" i="4"/>
  <c r="D21" i="15"/>
  <c r="D20" i="15"/>
  <c r="D19" i="15"/>
  <c r="D18" i="15"/>
  <c r="D17" i="15"/>
  <c r="D16" i="15"/>
  <c r="D15" i="15"/>
  <c r="B5" i="15"/>
  <c r="B3" i="15"/>
  <c r="B4" i="15"/>
  <c r="C12" i="15"/>
  <c r="A10" i="15"/>
  <c r="B10" i="15"/>
  <c r="C10" i="15"/>
  <c r="A11" i="15"/>
  <c r="B11" i="15"/>
  <c r="C11" i="15"/>
  <c r="A12" i="15"/>
  <c r="B12" i="15"/>
  <c r="A17" i="15"/>
  <c r="A16" i="15"/>
  <c r="A15" i="15"/>
  <c r="B19" i="17"/>
  <c r="B18" i="17"/>
  <c r="F18" i="17"/>
  <c r="F19" i="17"/>
  <c r="H12" i="17"/>
  <c r="G12" i="17"/>
  <c r="G13" i="17"/>
  <c r="H13" i="17"/>
  <c r="H6" i="17"/>
  <c r="H7" i="17"/>
  <c r="G6" i="17"/>
  <c r="G7" i="17"/>
  <c r="D19" i="17"/>
  <c r="E19" i="17" s="1"/>
  <c r="D18" i="17"/>
  <c r="E18" i="17"/>
  <c r="C19" i="17"/>
  <c r="C18" i="17"/>
  <c r="I12" i="17"/>
  <c r="I13" i="17"/>
  <c r="I7" i="17"/>
  <c r="I6" i="17"/>
  <c r="F7" i="17"/>
  <c r="F6" i="17"/>
  <c r="C12" i="17"/>
  <c r="D12" i="17" s="1"/>
  <c r="E12" i="17" s="1"/>
  <c r="B12" i="17"/>
  <c r="B13" i="17"/>
  <c r="C13" i="17"/>
  <c r="D13" i="17"/>
  <c r="E13" i="17"/>
  <c r="E4" i="3"/>
  <c r="D4" i="3"/>
  <c r="C4" i="3"/>
  <c r="B4" i="3"/>
  <c r="E3" i="3"/>
  <c r="D3" i="3"/>
  <c r="C3" i="3"/>
  <c r="B3" i="3"/>
  <c r="B9" i="14"/>
  <c r="B5" i="14"/>
  <c r="E4" i="14"/>
  <c r="D4" i="14"/>
  <c r="C4" i="14"/>
  <c r="B4" i="14"/>
  <c r="E3" i="14"/>
  <c r="D3" i="14"/>
  <c r="C3" i="14"/>
  <c r="B3" i="14"/>
  <c r="B4" i="8"/>
  <c r="B3" i="8"/>
  <c r="E4" i="7"/>
  <c r="D4" i="7"/>
  <c r="C4" i="7"/>
  <c r="B4" i="7"/>
  <c r="E3" i="7"/>
  <c r="D3" i="7"/>
  <c r="C3" i="7"/>
  <c r="B3" i="7"/>
  <c r="E9" i="10"/>
  <c r="B6" i="10"/>
  <c r="B5" i="10"/>
  <c r="B4" i="10"/>
  <c r="B3" i="10"/>
  <c r="B6" i="9"/>
  <c r="B5" i="9"/>
  <c r="B4" i="9"/>
  <c r="B3" i="9"/>
  <c r="B11" i="13"/>
  <c r="G12" i="13"/>
  <c r="F12" i="13"/>
  <c r="B10" i="13"/>
  <c r="F8" i="13"/>
  <c r="C8" i="13" s="1"/>
  <c r="D8" i="13" s="1"/>
  <c r="E8" i="13" s="1"/>
  <c r="B5" i="13"/>
  <c r="B4" i="13"/>
  <c r="B3" i="13"/>
  <c r="A20" i="15" a="1"/>
  <c r="A22" i="15" s="1"/>
  <c r="B8" i="15" s="1"/>
  <c r="C12" i="13"/>
  <c r="B8" i="13"/>
  <c r="B14" i="14"/>
  <c r="E18" i="9"/>
  <c r="F17" i="13"/>
  <c r="B15" i="16"/>
  <c r="B14" i="16"/>
  <c r="B26" i="8"/>
  <c r="B12" i="7"/>
  <c r="F24" i="4"/>
  <c r="E13" i="10"/>
  <c r="E16" i="6"/>
  <c r="B23" i="3"/>
  <c r="F7" i="8"/>
  <c r="F62" i="16"/>
  <c r="B22" i="3"/>
  <c r="G7" i="13"/>
  <c r="B27" i="8"/>
  <c r="B13" i="3"/>
  <c r="F12" i="9"/>
  <c r="B11" i="9" s="1"/>
  <c r="E19" i="9"/>
  <c r="B13" i="14"/>
  <c r="B19" i="13"/>
  <c r="B16" i="16"/>
  <c r="B12" i="14"/>
  <c r="F23" i="4"/>
  <c r="F7" i="6"/>
  <c r="B28" i="8"/>
  <c r="F61" i="16"/>
  <c r="E14" i="5"/>
  <c r="B24" i="15"/>
  <c r="B25" i="15"/>
  <c r="B14" i="8"/>
  <c r="G8" i="4"/>
  <c r="B13" i="4" s="1"/>
  <c r="F18" i="13"/>
  <c r="B26" i="15"/>
  <c r="B10" i="5" l="1"/>
  <c r="B9" i="3"/>
  <c r="B12" i="5"/>
  <c r="B6" i="7"/>
  <c r="B10" i="14"/>
  <c r="B18" i="13"/>
  <c r="C18" i="13"/>
  <c r="D18" i="13" s="1"/>
  <c r="E18" i="13" s="1"/>
  <c r="F8" i="4"/>
  <c r="B8" i="8"/>
  <c r="B14" i="5"/>
  <c r="C14" i="5" s="1"/>
  <c r="D14" i="5" s="1"/>
  <c r="B61" i="16"/>
  <c r="C61" i="16"/>
  <c r="D61" i="16" s="1"/>
  <c r="E61" i="16" s="1"/>
  <c r="F73" i="16"/>
  <c r="E7" i="6"/>
  <c r="C23" i="4"/>
  <c r="D23" i="4" s="1"/>
  <c r="E23" i="4" s="1"/>
  <c r="B23" i="4"/>
  <c r="B23" i="16"/>
  <c r="B19" i="9"/>
  <c r="C19" i="9" s="1"/>
  <c r="D19" i="9" s="1"/>
  <c r="E12" i="9"/>
  <c r="B14" i="3"/>
  <c r="F7" i="13"/>
  <c r="B13" i="13"/>
  <c r="B9" i="13" s="1"/>
  <c r="F74" i="16"/>
  <c r="C62" i="16"/>
  <c r="D62" i="16"/>
  <c r="E62" i="16" s="1"/>
  <c r="B62" i="16"/>
  <c r="E7" i="8"/>
  <c r="B16" i="6"/>
  <c r="C16" i="6" s="1"/>
  <c r="D16" i="6" s="1"/>
  <c r="C13" i="10"/>
  <c r="D13" i="10" s="1"/>
  <c r="B13" i="10"/>
  <c r="B24" i="4"/>
  <c r="C24" i="4"/>
  <c r="D24" i="4" s="1"/>
  <c r="E24" i="4" s="1"/>
  <c r="B29" i="8"/>
  <c r="B21" i="16"/>
  <c r="B22" i="16"/>
  <c r="B17" i="13"/>
  <c r="C17" i="13"/>
  <c r="D17" i="13" s="1"/>
  <c r="E17" i="13" s="1"/>
  <c r="B18" i="9"/>
  <c r="C18" i="9" s="1"/>
  <c r="D18" i="9" s="1"/>
  <c r="A21" i="15"/>
  <c r="B7" i="15" s="1"/>
  <c r="A20" i="15"/>
  <c r="B6" i="15" s="1"/>
  <c r="B7" i="7"/>
  <c r="B18" i="3"/>
  <c r="B17" i="3"/>
  <c r="B8" i="6"/>
  <c r="B7" i="5"/>
  <c r="B10" i="4"/>
  <c r="B20" i="4" s="1"/>
  <c r="B13" i="9"/>
  <c r="B14" i="9" s="1"/>
  <c r="B15" i="9" s="1"/>
  <c r="D12" i="13"/>
  <c r="E12" i="13" s="1"/>
  <c r="B12" i="13"/>
  <c r="B9" i="10"/>
  <c r="C9" i="10" s="1"/>
  <c r="D9" i="10" s="1"/>
  <c r="B78" i="16"/>
  <c r="B77" i="16"/>
  <c r="B76" i="16"/>
  <c r="B25" i="16"/>
  <c r="B24" i="16"/>
  <c r="B26" i="16"/>
  <c r="B34" i="16" l="1"/>
  <c r="B32" i="16"/>
  <c r="B33" i="16"/>
  <c r="B83" i="16"/>
  <c r="B84" i="16"/>
  <c r="B85" i="16"/>
  <c r="B8" i="5"/>
  <c r="B15" i="3"/>
  <c r="B10" i="3"/>
  <c r="B6" i="14"/>
  <c r="B7" i="14"/>
  <c r="B8" i="14"/>
  <c r="B12" i="9"/>
  <c r="C12" i="9" s="1"/>
  <c r="D12" i="9" s="1"/>
  <c r="B7" i="6"/>
  <c r="C7" i="6" s="1"/>
  <c r="D7" i="6" s="1"/>
  <c r="B12" i="6"/>
  <c r="B7" i="8"/>
  <c r="C7" i="8" s="1"/>
  <c r="D7" i="8" s="1"/>
  <c r="D7" i="13"/>
  <c r="E7" i="13" s="1"/>
  <c r="B7" i="13"/>
  <c r="C7" i="13"/>
  <c r="B14" i="6"/>
  <c r="B18" i="4"/>
  <c r="F8" i="9"/>
  <c r="E8" i="9" s="1"/>
  <c r="F9" i="9"/>
  <c r="E9" i="9" s="1"/>
  <c r="F11" i="10"/>
  <c r="E11" i="10" s="1"/>
  <c r="B9" i="8"/>
  <c r="B9" i="6"/>
  <c r="B11" i="4"/>
  <c r="B15" i="4" s="1"/>
  <c r="C74" i="16"/>
  <c r="D74" i="16" s="1"/>
  <c r="E74" i="16" s="1"/>
  <c r="B74" i="16"/>
  <c r="B73" i="16"/>
  <c r="C73" i="16"/>
  <c r="D73" i="16" s="1"/>
  <c r="E73" i="16" s="1"/>
  <c r="B21" i="4"/>
  <c r="B8" i="4"/>
  <c r="C8" i="4"/>
  <c r="D8" i="4" s="1"/>
  <c r="E8" i="4" s="1"/>
  <c r="B38" i="16"/>
  <c r="F36" i="16"/>
  <c r="F37" i="16"/>
  <c r="B87" i="16"/>
  <c r="B88" i="16"/>
  <c r="B86" i="16"/>
  <c r="B94" i="16" l="1"/>
  <c r="B96" i="16"/>
  <c r="B95" i="16"/>
  <c r="C37" i="16"/>
  <c r="D37" i="16" s="1"/>
  <c r="E37" i="16" s="1"/>
  <c r="B37" i="16"/>
  <c r="F44" i="16"/>
  <c r="C36" i="16"/>
  <c r="D36" i="16" s="1"/>
  <c r="E36" i="16" s="1"/>
  <c r="F43" i="16"/>
  <c r="B36" i="16"/>
  <c r="B8" i="7"/>
  <c r="B9" i="5"/>
  <c r="B19" i="3"/>
  <c r="B11" i="3"/>
  <c r="B10" i="8"/>
  <c r="B12" i="4"/>
  <c r="C8" i="9"/>
  <c r="D8" i="9" s="1"/>
  <c r="B8" i="9"/>
  <c r="B9" i="9"/>
  <c r="C9" i="9" s="1"/>
  <c r="D9" i="9" s="1"/>
  <c r="B11" i="8"/>
  <c r="B16" i="4"/>
  <c r="G6" i="4" s="1"/>
  <c r="F6" i="4" s="1"/>
  <c r="B19" i="4"/>
  <c r="G7" i="4" s="1"/>
  <c r="F7" i="4" s="1"/>
  <c r="B17" i="4"/>
  <c r="B10" i="6"/>
  <c r="B11" i="10"/>
  <c r="C11" i="10" s="1"/>
  <c r="D11" i="10" s="1"/>
  <c r="F99" i="16"/>
  <c r="B100" i="16"/>
  <c r="F98" i="16"/>
  <c r="B45" i="16"/>
  <c r="B46" i="16"/>
  <c r="B98" i="16" l="1"/>
  <c r="C98" i="16"/>
  <c r="D98" i="16" s="1"/>
  <c r="E98" i="16" s="1"/>
  <c r="C99" i="16"/>
  <c r="D99" i="16" s="1"/>
  <c r="E99" i="16" s="1"/>
  <c r="B99" i="16"/>
  <c r="B20" i="3"/>
  <c r="B16" i="3"/>
  <c r="B6" i="3" s="1"/>
  <c r="B9" i="7"/>
  <c r="B11" i="5"/>
  <c r="F6" i="5" s="1"/>
  <c r="E6" i="5" s="1"/>
  <c r="B6" i="5" s="1"/>
  <c r="C6" i="5" s="1"/>
  <c r="D6" i="5" s="1"/>
  <c r="B10" i="7"/>
  <c r="B5" i="3"/>
  <c r="C43" i="16"/>
  <c r="D43" i="16" s="1"/>
  <c r="E43" i="16" s="1"/>
  <c r="B43" i="16"/>
  <c r="C44" i="16"/>
  <c r="D44" i="16" s="1"/>
  <c r="E44" i="16" s="1"/>
  <c r="B44" i="16"/>
  <c r="B6" i="4"/>
  <c r="C6" i="4"/>
  <c r="D6" i="4" s="1"/>
  <c r="E6" i="4" s="1"/>
  <c r="B12" i="8"/>
  <c r="B5" i="8" s="1"/>
  <c r="B13" i="6"/>
  <c r="B7" i="4"/>
  <c r="C7" i="4"/>
  <c r="D7" i="4" s="1"/>
  <c r="E7" i="4" s="1"/>
  <c r="B5" i="7" l="1"/>
  <c r="F10" i="10"/>
  <c r="F6" i="6"/>
  <c r="E6" i="6" s="1"/>
  <c r="B6" i="6" l="1"/>
  <c r="C6" i="6"/>
  <c r="D6" i="6" s="1"/>
  <c r="F8" i="10"/>
  <c r="E8" i="10" s="1"/>
  <c r="E10" i="10"/>
  <c r="B8" i="10" l="1"/>
  <c r="C8" i="10"/>
  <c r="D8" i="10" s="1"/>
  <c r="B10" i="10"/>
  <c r="C10" i="10" s="1"/>
  <c r="D10" i="10" s="1"/>
</calcChain>
</file>

<file path=xl/sharedStrings.xml><?xml version="1.0" encoding="utf-8"?>
<sst xmlns="http://schemas.openxmlformats.org/spreadsheetml/2006/main" count="701" uniqueCount="256">
  <si>
    <t>ELLIPSOID AND PROJECTION CONSTANTS</t>
  </si>
  <si>
    <t>°</t>
  </si>
  <si>
    <t>'</t>
  </si>
  <si>
    <t>"</t>
  </si>
  <si>
    <t>Dec Degs</t>
  </si>
  <si>
    <t>Rads</t>
  </si>
  <si>
    <t>N</t>
  </si>
  <si>
    <t>W</t>
  </si>
  <si>
    <r>
      <t>aF</t>
    </r>
    <r>
      <rPr>
        <vertAlign val="subscript"/>
        <sz val="11"/>
        <rFont val="Times New Roman"/>
        <family val="1"/>
      </rPr>
      <t>0</t>
    </r>
  </si>
  <si>
    <r>
      <t>bF</t>
    </r>
    <r>
      <rPr>
        <vertAlign val="subscript"/>
        <sz val="11"/>
        <rFont val="Times New Roman"/>
        <family val="1"/>
      </rPr>
      <t>0</t>
    </r>
  </si>
  <si>
    <t>All other parameters same</t>
  </si>
  <si>
    <t>Notes</t>
  </si>
  <si>
    <t>1. The constants above are correct for working with the Ordnance Survey National Grid.</t>
  </si>
  <si>
    <t>2. It is also possible to use this spreadsheet to work with Universal Transverse Mercator (UTM) grids.</t>
  </si>
  <si>
    <t>Enter your coordinates in the yellow boxes</t>
  </si>
  <si>
    <t>Decimal Deg</t>
  </si>
  <si>
    <t>Radians</t>
  </si>
  <si>
    <t>latitude</t>
  </si>
  <si>
    <t>Enter either latitude and longitude</t>
  </si>
  <si>
    <t>longitude</t>
  </si>
  <si>
    <t>Easting</t>
  </si>
  <si>
    <t>metres</t>
  </si>
  <si>
    <t>or easting and northing</t>
  </si>
  <si>
    <t>Northing</t>
  </si>
  <si>
    <t>Easting 2</t>
  </si>
  <si>
    <t>Northing 2</t>
  </si>
  <si>
    <t>1. Type your input data in the yellow boxes only on this page.</t>
  </si>
  <si>
    <t xml:space="preserve">  For these calculations only, you must enter Eastings 2 and Northings 2 in addition to Easting and Northing</t>
  </si>
  <si>
    <t>Latitude and longitude to easting and northing</t>
  </si>
  <si>
    <t>This is the input data</t>
  </si>
  <si>
    <t>m</t>
  </si>
  <si>
    <t>This is the result of the calculation</t>
  </si>
  <si>
    <r>
      <t>e</t>
    </r>
    <r>
      <rPr>
        <vertAlign val="superscript"/>
        <sz val="11"/>
        <rFont val="Times New Roman"/>
        <family val="1"/>
      </rPr>
      <t>2</t>
    </r>
  </si>
  <si>
    <t>These values are intermediate calculation steps for the</t>
  </si>
  <si>
    <t>n</t>
  </si>
  <si>
    <t>formulae given in 'A Guide to Coordinate Systems in Great Britain'</t>
  </si>
  <si>
    <t>r</t>
  </si>
  <si>
    <r>
      <t>h</t>
    </r>
    <r>
      <rPr>
        <vertAlign val="superscript"/>
        <sz val="11"/>
        <rFont val="Symbol"/>
        <family val="1"/>
        <charset val="2"/>
      </rPr>
      <t>2</t>
    </r>
  </si>
  <si>
    <t>P</t>
  </si>
  <si>
    <t>M</t>
  </si>
  <si>
    <t>I</t>
  </si>
  <si>
    <t>II</t>
  </si>
  <si>
    <t>III</t>
  </si>
  <si>
    <t>IIIA</t>
  </si>
  <si>
    <t>IV</t>
  </si>
  <si>
    <t>V</t>
  </si>
  <si>
    <t>VI</t>
  </si>
  <si>
    <t>Easting and Northing to Latitude and Longitude</t>
  </si>
  <si>
    <r>
      <t>j</t>
    </r>
    <r>
      <rPr>
        <sz val="11"/>
        <rFont val="Times New Roman"/>
        <family val="1"/>
      </rPr>
      <t>'</t>
    </r>
  </si>
  <si>
    <t>These values are intermediate calculation steps</t>
  </si>
  <si>
    <r>
      <t>E</t>
    </r>
    <r>
      <rPr>
        <vertAlign val="subscript"/>
        <sz val="11"/>
        <rFont val="Times New Roman"/>
        <family val="1"/>
      </rPr>
      <t>t</t>
    </r>
  </si>
  <si>
    <t>VII</t>
  </si>
  <si>
    <t>VIII</t>
  </si>
  <si>
    <t>IX</t>
  </si>
  <si>
    <t>X</t>
  </si>
  <si>
    <t>XI</t>
  </si>
  <si>
    <t>XII</t>
  </si>
  <si>
    <t>XIIA</t>
  </si>
  <si>
    <t>Grid convergence from Latitude and Longitude</t>
  </si>
  <si>
    <t>convergence</t>
  </si>
  <si>
    <t>XIII</t>
  </si>
  <si>
    <t>XIV</t>
  </si>
  <si>
    <t>XV</t>
  </si>
  <si>
    <t>Grid convergence from Easting and Northing</t>
  </si>
  <si>
    <t>XVI</t>
  </si>
  <si>
    <t>XVII</t>
  </si>
  <si>
    <t>XVIII</t>
  </si>
  <si>
    <t>Local scale factor from Latitude and Longitude</t>
  </si>
  <si>
    <t>factor</t>
  </si>
  <si>
    <t>XIX</t>
  </si>
  <si>
    <t>XX</t>
  </si>
  <si>
    <t>Local scale factor is the scale distortion inherent in the map projection at a point</t>
  </si>
  <si>
    <t>Local scale factor from Easting and Northing</t>
  </si>
  <si>
    <t>XXI</t>
  </si>
  <si>
    <t>XXII</t>
  </si>
  <si>
    <t>t-T correction from Eastings and Northings</t>
  </si>
  <si>
    <r>
      <t>(t</t>
    </r>
    <r>
      <rPr>
        <b/>
        <vertAlign val="subscript"/>
        <sz val="11"/>
        <rFont val="Times New Roman"/>
        <family val="1"/>
      </rPr>
      <t xml:space="preserve">1 - </t>
    </r>
    <r>
      <rPr>
        <b/>
        <sz val="11"/>
        <rFont val="Times New Roman"/>
        <family val="1"/>
      </rPr>
      <t>T</t>
    </r>
    <r>
      <rPr>
        <b/>
        <vertAlign val="subscript"/>
        <sz val="11"/>
        <rFont val="Times New Roman"/>
        <family val="1"/>
      </rPr>
      <t>1</t>
    </r>
    <r>
      <rPr>
        <b/>
        <sz val="11"/>
        <rFont val="Times New Roman"/>
        <family val="1"/>
      </rPr>
      <t>)</t>
    </r>
  </si>
  <si>
    <r>
      <t>(t</t>
    </r>
    <r>
      <rPr>
        <b/>
        <vertAlign val="subscript"/>
        <sz val="11"/>
        <rFont val="Times New Roman"/>
        <family val="1"/>
      </rPr>
      <t xml:space="preserve">2 - </t>
    </r>
    <r>
      <rPr>
        <b/>
        <sz val="11"/>
        <rFont val="Times New Roman"/>
        <family val="1"/>
      </rPr>
      <t>T</t>
    </r>
    <r>
      <rPr>
        <b/>
        <vertAlign val="subscript"/>
        <sz val="11"/>
        <rFont val="Times New Roman"/>
        <family val="1"/>
      </rPr>
      <t>2</t>
    </r>
    <r>
      <rPr>
        <b/>
        <sz val="11"/>
        <rFont val="Times New Roman"/>
        <family val="1"/>
      </rPr>
      <t>)</t>
    </r>
  </si>
  <si>
    <r>
      <t>N</t>
    </r>
    <r>
      <rPr>
        <vertAlign val="subscript"/>
        <sz val="11"/>
        <rFont val="Times New Roman"/>
        <family val="1"/>
      </rPr>
      <t>m</t>
    </r>
  </si>
  <si>
    <t>XXIII</t>
  </si>
  <si>
    <t>t-T correction is the difference between true direction and projected direction due to the curving of straight lines on the projection</t>
  </si>
  <si>
    <t>True Azimuth from eastings and northings</t>
  </si>
  <si>
    <r>
      <t>True Azimuth</t>
    </r>
    <r>
      <rPr>
        <b/>
        <vertAlign val="subscript"/>
        <sz val="11"/>
        <rFont val="Times New Roman"/>
        <family val="1"/>
      </rPr>
      <t>(1 to 2)</t>
    </r>
  </si>
  <si>
    <r>
      <t>Grid Bearing</t>
    </r>
    <r>
      <rPr>
        <vertAlign val="subscript"/>
        <sz val="11"/>
        <rFont val="Times New Roman"/>
        <family val="1"/>
      </rPr>
      <t>(1 to 2)</t>
    </r>
  </si>
  <si>
    <r>
      <t>C</t>
    </r>
    <r>
      <rPr>
        <vertAlign val="subscript"/>
        <sz val="11"/>
        <rFont val="Times New Roman"/>
        <family val="1"/>
      </rPr>
      <t>1</t>
    </r>
  </si>
  <si>
    <r>
      <t>(t</t>
    </r>
    <r>
      <rPr>
        <vertAlign val="subscript"/>
        <sz val="11"/>
        <rFont val="Times New Roman"/>
      </rPr>
      <t xml:space="preserve">1 - </t>
    </r>
    <r>
      <rPr>
        <sz val="11"/>
        <rFont val="Times New Roman"/>
      </rPr>
      <t>T</t>
    </r>
    <r>
      <rPr>
        <vertAlign val="subscript"/>
        <sz val="11"/>
        <rFont val="Times New Roman"/>
      </rPr>
      <t>1</t>
    </r>
    <r>
      <rPr>
        <sz val="11"/>
        <rFont val="Times New Roman"/>
      </rPr>
      <t>)</t>
    </r>
  </si>
  <si>
    <t>The true azimuth from one point (easting, northing) to a second point (easting 2, northing 2)</t>
  </si>
  <si>
    <t>is computed by applying the convergence and t-T corrections to the grid bearing.</t>
  </si>
  <si>
    <t>E</t>
  </si>
  <si>
    <t>then view the code in "Module 1".</t>
  </si>
  <si>
    <t>Cartesian X</t>
  </si>
  <si>
    <t>Cartesian Y</t>
  </si>
  <si>
    <t>Cartesian Z</t>
  </si>
  <si>
    <t>Ellipsoidal height</t>
  </si>
  <si>
    <t>Ellipsoidal height is only required for the Cartesian XYZ coordiante conversions.</t>
  </si>
  <si>
    <t>Enter either Latitude, Longitude and optional Ellipsoidal height, Easting and Northing or Earth centred Cartesian coordinates.</t>
  </si>
  <si>
    <t>Ellipsoidal height is optional (see notes)</t>
  </si>
  <si>
    <t>or Earth centred Cartesian XYZ coordinates</t>
  </si>
  <si>
    <r>
      <t>2</t>
    </r>
    <r>
      <rPr>
        <vertAlign val="superscript"/>
        <sz val="9"/>
        <rFont val="Times New Roman"/>
        <family val="1"/>
      </rPr>
      <t xml:space="preserve">nd </t>
    </r>
    <r>
      <rPr>
        <sz val="9"/>
        <rFont val="Times New Roman"/>
        <family val="1"/>
      </rPr>
      <t>pair of coordinates is optional (see notes)</t>
    </r>
  </si>
  <si>
    <t>Cartesian XYZ to Latitude, longitude and Ellipsoidal height</t>
  </si>
  <si>
    <t>Y</t>
  </si>
  <si>
    <t>Z</t>
  </si>
  <si>
    <r>
      <t xml:space="preserve">The radians value of </t>
    </r>
    <r>
      <rPr>
        <sz val="11"/>
        <rFont val="Symbol"/>
        <family val="1"/>
        <charset val="2"/>
      </rPr>
      <t>j</t>
    </r>
    <r>
      <rPr>
        <sz val="11"/>
        <rFont val="Times New Roman"/>
        <family val="1"/>
      </rPr>
      <t>' is computed using a user defined function</t>
    </r>
  </si>
  <si>
    <t>p</t>
  </si>
  <si>
    <r>
      <t xml:space="preserve">Initial </t>
    </r>
    <r>
      <rPr>
        <sz val="11"/>
        <rFont val="Symbol"/>
        <family val="1"/>
        <charset val="2"/>
      </rPr>
      <t>j</t>
    </r>
  </si>
  <si>
    <t>The radians value of latitude is computed using a user defined function</t>
  </si>
  <si>
    <t>This is the result of the calculation using user defined functions.</t>
  </si>
  <si>
    <t>Latitude, longitude and Ellipsoidal height to Cartesian XYZ</t>
  </si>
  <si>
    <r>
      <t xml:space="preserve">To see the Visual Basic code of the functions - </t>
    </r>
    <r>
      <rPr>
        <u/>
        <sz val="11"/>
        <rFont val="Times New Roman"/>
        <family val="1"/>
      </rPr>
      <t/>
    </r>
  </si>
  <si>
    <r>
      <t xml:space="preserve">To see the Visual Basic code of the function - </t>
    </r>
    <r>
      <rPr>
        <u/>
        <sz val="11"/>
        <rFont val="Times New Roman"/>
        <family val="1"/>
      </rPr>
      <t/>
    </r>
  </si>
  <si>
    <t>translation parallel to X</t>
  </si>
  <si>
    <t>translation parallel to Y</t>
  </si>
  <si>
    <t>translation parallel to Z</t>
  </si>
  <si>
    <t>scale change</t>
  </si>
  <si>
    <t>parts per million</t>
  </si>
  <si>
    <t>rotation about X</t>
  </si>
  <si>
    <t>seconds of arc</t>
  </si>
  <si>
    <t>rotation about Y</t>
  </si>
  <si>
    <t>rotation about Z</t>
  </si>
  <si>
    <t>1.  It is very important to understand the limitations of simple datum transformations.</t>
  </si>
  <si>
    <t>This method does not take account of the local distortions present in coordinate reference frames (TRFs)</t>
  </si>
  <si>
    <t>This is especially important when one or both of the coordinate systems involved is based on a traditional triangulation network</t>
  </si>
  <si>
    <t>For instance, transforming between WGS84 GPS coordinates and OSGB36 National Grid will incur transformation errors</t>
  </si>
  <si>
    <t>of up to five metres, depending on location.</t>
  </si>
  <si>
    <t>Also, this method cannot convert ellipsoid heights to heights above mean sea level.</t>
  </si>
  <si>
    <t xml:space="preserve">For full details on the limitations of the method coded here, see the OS publication 'A guide to coordinate systems in </t>
  </si>
  <si>
    <t>2.  The constants in the table above are suitable for transforming from WGS84 GPS coordinates to OSGB36 National Grid.</t>
  </si>
  <si>
    <t>By changing the constants above, this spreadsheet may be used to convert between any two geodetic datums</t>
  </si>
  <si>
    <t>Some ellipsoid constants are given in 'A guide to coordinate systems in Great Britain'</t>
  </si>
  <si>
    <t>Ordnance Survey cannot supply suitable transformation parameters for the geodetic systems of other countries -</t>
  </si>
  <si>
    <t>please make enquiries for these parameters to the national mapping agencies of the country concerned.</t>
  </si>
  <si>
    <t>'A Guide to coordinate systems in Great Britain', available from the OS GPS website www.gps.gov.uk.</t>
  </si>
  <si>
    <t>Projection Notes</t>
  </si>
  <si>
    <t>Transformation Notes</t>
  </si>
  <si>
    <t>ETRS89 (WGS84) to OSGB36</t>
  </si>
  <si>
    <t>reverse signs to go from OSGB36 to ETRS89</t>
  </si>
  <si>
    <t>Look at the following sheets to see the results of the calculations.</t>
  </si>
  <si>
    <t>in Great Britain' from our GPS website www.gps.gov.uk, or see any textbook on map projections or surveying computations.</t>
  </si>
  <si>
    <t>Helmert Datum Transformation</t>
  </si>
  <si>
    <t>Rotation and Scale Matrix (H)</t>
  </si>
  <si>
    <t>Translation Matrix (T)</t>
  </si>
  <si>
    <t>H * Input Cartesian coords</t>
  </si>
  <si>
    <t>a for OSGB36 =</t>
  </si>
  <si>
    <t>b for OSGB36 =</t>
  </si>
  <si>
    <t>b for GRS80 =</t>
  </si>
  <si>
    <t>HELMERT TRANSFORMATION CONSTANTS</t>
  </si>
  <si>
    <t>The Earth centred Cartesian coordinates are used as input to the Helmert datum transformation calculations.</t>
  </si>
  <si>
    <r>
      <t xml:space="preserve">Menu = </t>
    </r>
    <r>
      <rPr>
        <u/>
        <sz val="11"/>
        <rFont val="Times New Roman"/>
        <family val="1"/>
      </rPr>
      <t>T</t>
    </r>
    <r>
      <rPr>
        <sz val="11"/>
        <rFont val="Times New Roman"/>
        <family val="1"/>
      </rPr>
      <t xml:space="preserve">ools, </t>
    </r>
    <r>
      <rPr>
        <u/>
        <sz val="11"/>
        <rFont val="Times New Roman"/>
        <family val="1"/>
      </rPr>
      <t>M</t>
    </r>
    <r>
      <rPr>
        <sz val="11"/>
        <rFont val="Times New Roman"/>
        <family val="1"/>
      </rPr>
      <t xml:space="preserve">acro, </t>
    </r>
    <r>
      <rPr>
        <u/>
        <sz val="11"/>
        <rFont val="Times New Roman"/>
        <family val="1"/>
      </rPr>
      <t>V</t>
    </r>
    <r>
      <rPr>
        <sz val="11"/>
        <rFont val="Times New Roman"/>
        <family val="1"/>
      </rPr>
      <t>isual Basic Editor,</t>
    </r>
  </si>
  <si>
    <t xml:space="preserve">Great Britain', available free from our GPS Website (www.gps.gov.uk) or OS customer helpline. </t>
  </si>
  <si>
    <r>
      <t xml:space="preserve">The radians value of </t>
    </r>
    <r>
      <rPr>
        <sz val="11"/>
        <rFont val="Symbol"/>
        <family val="1"/>
        <charset val="2"/>
      </rPr>
      <t>j</t>
    </r>
    <r>
      <rPr>
        <sz val="11"/>
        <rFont val="Times New Roman"/>
        <family val="1"/>
      </rPr>
      <t>' and the value of M are computed using user defined functions</t>
    </r>
  </si>
  <si>
    <t>The value of M is computed using a user defined function</t>
  </si>
  <si>
    <t>ppm</t>
  </si>
  <si>
    <t>secs</t>
  </si>
  <si>
    <t>Parameters (see "Constants" sheet)</t>
  </si>
  <si>
    <t>Input</t>
  </si>
  <si>
    <t>Output</t>
  </si>
  <si>
    <t>Ellipsoid parameters (WGS84)</t>
  </si>
  <si>
    <t>WGS84 Latitude, longitude and Ellipsoidal height to WGS84 Cartesian XYZ</t>
  </si>
  <si>
    <t xml:space="preserve">The DMS values are converted to decimal using </t>
  </si>
  <si>
    <t>standard Excel functions</t>
  </si>
  <si>
    <t>Helmert Datum Transformation (WGS84 to OSGB36)</t>
  </si>
  <si>
    <t>Transformation (WGS84 to OSGB36)</t>
  </si>
  <si>
    <t>translation parallel to X =</t>
  </si>
  <si>
    <t>translation parallel to Y =</t>
  </si>
  <si>
    <t>translation parallel to Z =</t>
  </si>
  <si>
    <t>scale change =</t>
  </si>
  <si>
    <t>rotation about X =</t>
  </si>
  <si>
    <t>rotation about Y =</t>
  </si>
  <si>
    <t>rotation about Z =</t>
  </si>
  <si>
    <t>a =</t>
  </si>
  <si>
    <t>b =</t>
  </si>
  <si>
    <t>Ellipsoid parameters (OSGB36)</t>
  </si>
  <si>
    <t>OSGB36 Latitude and longitude to OSGB36 easting and northing</t>
  </si>
  <si>
    <t>Ellipsoid and projection parameters (OSGB36)</t>
  </si>
  <si>
    <t xml:space="preserve">The decimal values are converted to DMS using </t>
  </si>
  <si>
    <t>f0 =</t>
  </si>
  <si>
    <t>e0 =</t>
  </si>
  <si>
    <t>n0 =</t>
  </si>
  <si>
    <r>
      <t>j</t>
    </r>
    <r>
      <rPr>
        <vertAlign val="subscript"/>
        <sz val="11"/>
        <rFont val="Times New Roman"/>
        <family val="1"/>
      </rPr>
      <t xml:space="preserve">0 </t>
    </r>
    <r>
      <rPr>
        <sz val="11"/>
        <rFont val="Times New Roman"/>
        <family val="1"/>
      </rPr>
      <t>=</t>
    </r>
  </si>
  <si>
    <r>
      <t>l</t>
    </r>
    <r>
      <rPr>
        <vertAlign val="subscript"/>
        <sz val="11"/>
        <rFont val="Times New Roman"/>
        <family val="1"/>
      </rPr>
      <t xml:space="preserve">0 </t>
    </r>
    <r>
      <rPr>
        <sz val="11"/>
        <rFont val="Times New Roman"/>
        <family val="1"/>
      </rPr>
      <t>=</t>
    </r>
  </si>
  <si>
    <t>The outputs of the previous stage are passed as inputs to the next stage.  Other parameters used are on the right of each stage.</t>
  </si>
  <si>
    <r>
      <t xml:space="preserve">To see the Visual Basic code of the functions, menu = </t>
    </r>
    <r>
      <rPr>
        <u/>
        <sz val="10"/>
        <rFont val="Times New Roman"/>
        <family val="1"/>
      </rPr>
      <t>T</t>
    </r>
    <r>
      <rPr>
        <sz val="10"/>
        <rFont val="Times New Roman"/>
        <family val="1"/>
      </rPr>
      <t xml:space="preserve">ools, </t>
    </r>
    <r>
      <rPr>
        <u/>
        <sz val="10"/>
        <rFont val="Times New Roman"/>
        <family val="1"/>
      </rPr>
      <t>M</t>
    </r>
    <r>
      <rPr>
        <sz val="10"/>
        <rFont val="Times New Roman"/>
        <family val="1"/>
      </rPr>
      <t xml:space="preserve">acro, </t>
    </r>
    <r>
      <rPr>
        <u/>
        <sz val="10"/>
        <rFont val="Times New Roman"/>
        <family val="1"/>
      </rPr>
      <t>V</t>
    </r>
    <r>
      <rPr>
        <sz val="10"/>
        <rFont val="Times New Roman"/>
        <family val="1"/>
      </rPr>
      <t>isual Basic Editor, then view the code in "Module 1".</t>
    </r>
  </si>
  <si>
    <t>This sheet gives an example of how the user defined functions stored in this workbook can be used.</t>
  </si>
  <si>
    <t>The results of each stage are all produced by user defined functions in single cells (i.e. there are no intermediate steps done in other cells).</t>
  </si>
  <si>
    <t>If you want to work with OS National Grid, do not change anything in the above box.</t>
  </si>
  <si>
    <r>
      <t xml:space="preserve">See the </t>
    </r>
    <r>
      <rPr>
        <b/>
        <sz val="11"/>
        <rFont val="Times New Roman"/>
        <family val="1"/>
      </rPr>
      <t>Transformation Notes</t>
    </r>
    <r>
      <rPr>
        <sz val="11"/>
        <rFont val="Times New Roman"/>
        <family val="1"/>
      </rPr>
      <t xml:space="preserve"> on the</t>
    </r>
  </si>
  <si>
    <t xml:space="preserve">"Constants" page for information on the </t>
  </si>
  <si>
    <t>transformation.</t>
  </si>
  <si>
    <t>limitations and accuracy of this transformation.</t>
  </si>
  <si>
    <t>limitations and accuracy of this</t>
  </si>
  <si>
    <t xml:space="preserve">The decimal degrees are the input to the </t>
  </si>
  <si>
    <t>user defined functions.</t>
  </si>
  <si>
    <t>The decimal values are converted to DMS using</t>
  </si>
  <si>
    <t>the user defined functions.</t>
  </si>
  <si>
    <t xml:space="preserve">The decimal degrees and height are the output of </t>
  </si>
  <si>
    <t>This is the result of the calculation using a user defined function.</t>
  </si>
  <si>
    <t>Where F1 = scale factor at Point 1; F2 = scale factor at Point 2 and  Fm = scale factor at mid point between Point 1 and Point 2.</t>
  </si>
  <si>
    <t>Line scale factor = (1/6)(F1 + 4Fm + F2)</t>
  </si>
  <si>
    <t>e.g.: -</t>
  </si>
  <si>
    <t xml:space="preserve">For a long line the scale factor at the mid point should be calculated. For lines up to 30km in length this will give a result with an error not exceeding 1 to 2 ppm. </t>
  </si>
  <si>
    <t>= Scale factor at Point 1 (East1,North1)</t>
  </si>
  <si>
    <t>= Scale factor at Point 2 (East2,North2)</t>
  </si>
  <si>
    <t>= Scale factor at mid point of Point 1 (East1,North1) and Point 2 (East2,North2)</t>
  </si>
  <si>
    <t>= Line scale factor for line between Point 1 (East1,North1) and Point 2 (East2,North2)</t>
  </si>
  <si>
    <t>If still greater accuracy is required compute a line scale factor using Simpson's Rule as shown below.</t>
  </si>
  <si>
    <t>is the projected distance between the points divided by the true (geodesic) distance.</t>
  </si>
  <si>
    <t>The line scale factor between Point 1 (East1, North1) and Point 2 (East2, North2)</t>
  </si>
  <si>
    <t>Semi-minor axis, b</t>
  </si>
  <si>
    <t>Semi-major axis, a</t>
  </si>
  <si>
    <r>
      <t>Central Meridan Scale, F</t>
    </r>
    <r>
      <rPr>
        <b/>
        <vertAlign val="subscript"/>
        <sz val="11"/>
        <rFont val="Times New Roman"/>
        <family val="1"/>
      </rPr>
      <t>0</t>
    </r>
  </si>
  <si>
    <r>
      <t>True origin Easting, E</t>
    </r>
    <r>
      <rPr>
        <b/>
        <vertAlign val="subscript"/>
        <sz val="11"/>
        <rFont val="Times New Roman"/>
        <family val="1"/>
      </rPr>
      <t>0</t>
    </r>
  </si>
  <si>
    <r>
      <t>True origin Northing, N</t>
    </r>
    <r>
      <rPr>
        <b/>
        <vertAlign val="subscript"/>
        <sz val="11"/>
        <rFont val="Times New Roman"/>
        <family val="1"/>
      </rPr>
      <t>0</t>
    </r>
  </si>
  <si>
    <r>
      <t xml:space="preserve">True origin latitude, </t>
    </r>
    <r>
      <rPr>
        <b/>
        <sz val="11"/>
        <rFont val="Symbol"/>
        <family val="1"/>
        <charset val="2"/>
      </rPr>
      <t>j</t>
    </r>
    <r>
      <rPr>
        <b/>
        <vertAlign val="subscript"/>
        <sz val="11"/>
        <rFont val="Times New Roman"/>
        <family val="1"/>
      </rPr>
      <t>0</t>
    </r>
  </si>
  <si>
    <r>
      <t xml:space="preserve">True origin longitude, </t>
    </r>
    <r>
      <rPr>
        <b/>
        <sz val="11"/>
        <rFont val="Symbol"/>
        <family val="1"/>
        <charset val="2"/>
      </rPr>
      <t>l</t>
    </r>
    <r>
      <rPr>
        <b/>
        <vertAlign val="subscript"/>
        <sz val="11"/>
        <rFont val="Times New Roman"/>
        <family val="1"/>
      </rPr>
      <t>0</t>
    </r>
  </si>
  <si>
    <t>The constants that must be entered in the yellow boxes if you want to work with UTM are given in Annex A of</t>
  </si>
  <si>
    <t>Degrees &amp; Decimal Minutes</t>
  </si>
  <si>
    <t>Decimal Degrees</t>
  </si>
  <si>
    <t>Degrees (°)</t>
  </si>
  <si>
    <t>Seconds (")</t>
  </si>
  <si>
    <t>Minutes (')</t>
  </si>
  <si>
    <t>Input Data</t>
  </si>
  <si>
    <t>Output Data</t>
  </si>
  <si>
    <t>Latitude &amp; Longitude Format Conversions (Enter your coordinates in the yellow boxes)</t>
  </si>
  <si>
    <t>Decimal Degrees to Degrees, Minutes &amp; Seconds and Degrees &amp; Decimal Minutes</t>
  </si>
  <si>
    <t>Degrees, Minutes &amp; Seconds to Decimal Degrees and Degrees &amp; Decimal Minutes</t>
  </si>
  <si>
    <t>Degrees &amp; Decimal Minutes to Degrees, Minutes &amp; Seconds and Decimal Degrees</t>
  </si>
  <si>
    <t>To convert from decimal latitude and longitude or degrees lat / long and decimal minutes to the degrees, minutes and seconds format</t>
  </si>
  <si>
    <t>see the "Lat &amp; Long Format Conversions " sheet.</t>
  </si>
  <si>
    <t>3.  For two of the calculations (t-T correction and true azimuth), the eastings and northings of two points are required.</t>
  </si>
  <si>
    <t>4.  For background information on the calculations contained in this spreadsheet, download 'A Guide to Coordinate Systems</t>
  </si>
  <si>
    <t>2. Check that the appropriate parameters are set on the "Constants" sheet.</t>
  </si>
  <si>
    <t>User inputs DMS and Height. Decimal degrees and</t>
  </si>
  <si>
    <t>height are the input to the user defined functions.</t>
  </si>
  <si>
    <t>OSGB36 easting and northing to OSGB36 latitude and longitude</t>
  </si>
  <si>
    <t>easting</t>
  </si>
  <si>
    <t>northing</t>
  </si>
  <si>
    <t>A WGS84 lat, long and height (e.g. from a handheld GPS receiver) is converted and transformed in stages to an OSGB36 easting, northing and approx ODN height.</t>
  </si>
  <si>
    <t>~ODN height</t>
  </si>
  <si>
    <t>OSGB36 Cartesian XYZ to OSGB36 Latitude, longitude and approx ODN height</t>
  </si>
  <si>
    <t>The eastings, northings and approx ODN height are</t>
  </si>
  <si>
    <t xml:space="preserve"> input by the user. User defined functions convert</t>
  </si>
  <si>
    <t xml:space="preserve"> them to dec degrees. The decimal degrees are</t>
  </si>
  <si>
    <t xml:space="preserve"> converted to DMS using standard Excel functions</t>
  </si>
  <si>
    <t>OSGB36 latitude, longitude and approx ODN height to OSGB36 cartesian XYZ</t>
  </si>
  <si>
    <t>Decimal degrees and height are the input to the</t>
  </si>
  <si>
    <t>Helmert Datum Transformation (OSGB36 to WGS84)</t>
  </si>
  <si>
    <t>Transformation (OSGB36 to WGS84)</t>
  </si>
  <si>
    <t>WGS84 Cartesian XYZ to WGS84 Latitude, longitude and Ellipsoidal height</t>
  </si>
  <si>
    <t>WGS 84 to OSGB36</t>
  </si>
  <si>
    <t>OSGB36 to WGS84</t>
  </si>
  <si>
    <t>The reverse transformation from OSGB36 to WGS84 is then performed.</t>
  </si>
  <si>
    <t>Note : be aware when changing the layout of this sheet that all cell references are ABSOLUTE.  This is so that function inputs can be easily identified.</t>
  </si>
  <si>
    <t>a for GRS80 &amp; WGS84 =</t>
  </si>
  <si>
    <t>b for WGS84 =</t>
  </si>
  <si>
    <t>Slight difference in b is due to different flattening values</t>
  </si>
  <si>
    <r>
      <t xml:space="preserve">Grid convergence is the angle </t>
    </r>
    <r>
      <rPr>
        <b/>
        <sz val="11"/>
        <rFont val="Times New Roman"/>
        <family val="1"/>
      </rPr>
      <t>FROM</t>
    </r>
    <r>
      <rPr>
        <sz val="11"/>
        <rFont val="Times New Roman"/>
        <family val="1"/>
      </rPr>
      <t xml:space="preserve"> the meridian line through a point </t>
    </r>
    <r>
      <rPr>
        <b/>
        <sz val="11"/>
        <rFont val="Times New Roman"/>
        <family val="1"/>
      </rPr>
      <t>TO</t>
    </r>
    <r>
      <rPr>
        <sz val="11"/>
        <rFont val="Times New Roman"/>
        <family val="1"/>
      </rPr>
      <t xml:space="preserve"> the North-South grid line at the same point.  A positive angle is clockwise.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</si>
</sst>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78" formatCode="0.000000000"/>
    <numFmt numFmtId="179" formatCode="0.0000000000"/>
    <numFmt numFmtId="180" formatCode="0.00000000000"/>
    <numFmt numFmtId="181" formatCode="0.000000000000"/>
    <numFmt numFmtId="183" formatCode="0.00000000000000"/>
    <numFmt numFmtId="186" formatCode="0.0000"/>
    <numFmt numFmtId="187" formatCode="0.00000"/>
    <numFmt numFmtId="188" formatCode="0.000000"/>
    <numFmt numFmtId="190" formatCode="0.00000000"/>
    <numFmt numFmtId="191" formatCode="0.000"/>
    <numFmt numFmtId="192" formatCode="0.00000000E+00"/>
    <numFmt numFmtId="196" formatCode="0.0000000000E+00"/>
    <numFmt numFmtId="202" formatCode="0;\-0"/>
    <numFmt numFmtId="214" formatCode="0.0000000000000000000"/>
    <numFmt numFmtId="216" formatCode="00"/>
  </numFmts>
  <fonts count="27" x14ac:knownFonts="1">
    <font>
      <sz val="10"/>
      <name val="Arial"/>
    </font>
    <font>
      <sz val="11"/>
      <name val="Times New Roman"/>
      <family val="1"/>
    </font>
    <font>
      <b/>
      <sz val="11"/>
      <name val="Times New Roman"/>
      <family val="1"/>
    </font>
    <font>
      <sz val="11"/>
      <name val="Symbol"/>
      <family val="1"/>
      <charset val="2"/>
    </font>
    <font>
      <vertAlign val="superscript"/>
      <sz val="11"/>
      <name val="Times New Roman"/>
      <family val="1"/>
    </font>
    <font>
      <vertAlign val="superscript"/>
      <sz val="11"/>
      <name val="Symbol"/>
      <family val="1"/>
      <charset val="2"/>
    </font>
    <font>
      <b/>
      <vertAlign val="subscript"/>
      <sz val="11"/>
      <name val="Times New Roman"/>
      <family val="1"/>
    </font>
    <font>
      <b/>
      <sz val="11"/>
      <name val="Symbol"/>
      <family val="1"/>
      <charset val="2"/>
    </font>
    <font>
      <vertAlign val="subscript"/>
      <sz val="11"/>
      <name val="Times New Roman"/>
      <family val="1"/>
    </font>
    <font>
      <b/>
      <sz val="11"/>
      <name val="Times New Roman"/>
    </font>
    <font>
      <b/>
      <sz val="11"/>
      <color indexed="9"/>
      <name val="Times New Roman"/>
      <family val="1"/>
    </font>
    <font>
      <sz val="10"/>
      <name val="Times New Roman"/>
      <family val="1"/>
    </font>
    <font>
      <sz val="11"/>
      <name val="Symbol"/>
    </font>
    <font>
      <sz val="11"/>
      <name val="Times New Roman"/>
    </font>
    <font>
      <sz val="11"/>
      <color indexed="9"/>
      <name val="Times New Roman"/>
      <family val="1"/>
    </font>
    <font>
      <vertAlign val="subscript"/>
      <sz val="11"/>
      <name val="Times New Roman"/>
    </font>
    <font>
      <sz val="10"/>
      <color indexed="9"/>
      <name val="Arial"/>
    </font>
    <font>
      <u/>
      <sz val="11"/>
      <name val="Times New Roman"/>
      <family val="1"/>
    </font>
    <font>
      <sz val="9"/>
      <name val="Times New Roman"/>
      <family val="1"/>
    </font>
    <font>
      <vertAlign val="superscript"/>
      <sz val="9"/>
      <name val="Times New Roman"/>
      <family val="1"/>
    </font>
    <font>
      <u/>
      <sz val="10"/>
      <name val="Times New Roman"/>
      <family val="1"/>
    </font>
    <font>
      <sz val="11"/>
      <name val="Arial"/>
    </font>
    <font>
      <sz val="11"/>
      <color indexed="55"/>
      <name val="Times New Roman"/>
      <family val="1"/>
    </font>
    <font>
      <sz val="11"/>
      <color indexed="8"/>
      <name val="Times New Roman"/>
      <family val="1"/>
    </font>
    <font>
      <b/>
      <sz val="11"/>
      <color indexed="8"/>
      <name val="Times New Roman"/>
      <family val="1"/>
    </font>
    <font>
      <b/>
      <sz val="14"/>
      <name val="Times New Roman"/>
      <family val="1"/>
    </font>
    <font>
      <sz val="8"/>
      <name val="Times New Roman"/>
      <family val="1"/>
    </font>
  </fonts>
  <fills count="9">
    <fill>
      <patternFill patternType="none"/>
    </fill>
    <fill>
      <patternFill patternType="gray125"/>
    </fill>
    <fill>
      <patternFill patternType="solid">
        <fgColor indexed="22"/>
        <bgColor indexed="64"/>
      </patternFill>
    </fill>
    <fill>
      <patternFill patternType="solid">
        <fgColor indexed="17"/>
        <bgColor indexed="64"/>
      </patternFill>
    </fill>
    <fill>
      <patternFill patternType="solid">
        <fgColor indexed="11"/>
        <bgColor indexed="64"/>
      </patternFill>
    </fill>
    <fill>
      <patternFill patternType="solid">
        <fgColor indexed="43"/>
        <bgColor indexed="64"/>
      </patternFill>
    </fill>
    <fill>
      <patternFill patternType="solid">
        <fgColor indexed="50"/>
        <bgColor indexed="64"/>
      </patternFill>
    </fill>
    <fill>
      <patternFill patternType="solid">
        <fgColor indexed="43"/>
        <bgColor indexed="22"/>
      </patternFill>
    </fill>
    <fill>
      <patternFill patternType="solid">
        <fgColor indexed="17"/>
        <bgColor indexed="22"/>
      </patternFill>
    </fill>
  </fills>
  <borders count="55">
    <border>
      <left/>
      <right/>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502">
    <xf numFmtId="0" fontId="0" fillId="0" borderId="0" xfId="0"/>
    <xf numFmtId="0" fontId="1" fillId="0" borderId="0" xfId="0" applyFont="1" applyFill="1" applyBorder="1" applyAlignment="1" applyProtection="1"/>
    <xf numFmtId="0" fontId="1" fillId="0" borderId="0" xfId="0" applyFont="1" applyProtection="1"/>
    <xf numFmtId="0" fontId="1" fillId="2" borderId="0" xfId="0" applyFont="1" applyFill="1" applyProtection="1"/>
    <xf numFmtId="0" fontId="1" fillId="2" borderId="0" xfId="0" applyFont="1" applyFill="1" applyBorder="1" applyProtection="1"/>
    <xf numFmtId="0" fontId="1" fillId="2" borderId="0" xfId="0" applyFont="1" applyFill="1" applyBorder="1" applyAlignment="1" applyProtection="1">
      <alignment horizontal="right"/>
    </xf>
    <xf numFmtId="190" fontId="1" fillId="2" borderId="1" xfId="0" applyNumberFormat="1" applyFont="1" applyFill="1" applyBorder="1" applyProtection="1"/>
    <xf numFmtId="178" fontId="1" fillId="2" borderId="2" xfId="0" applyNumberFormat="1" applyFont="1" applyFill="1" applyBorder="1" applyProtection="1"/>
    <xf numFmtId="190" fontId="1" fillId="2" borderId="3" xfId="0" applyNumberFormat="1" applyFont="1" applyFill="1" applyBorder="1" applyProtection="1"/>
    <xf numFmtId="0" fontId="1" fillId="2" borderId="4" xfId="0" applyFont="1" applyFill="1" applyBorder="1" applyProtection="1"/>
    <xf numFmtId="0" fontId="1" fillId="2" borderId="5" xfId="0" applyFont="1" applyFill="1" applyBorder="1" applyAlignment="1" applyProtection="1">
      <alignment horizontal="right"/>
    </xf>
    <xf numFmtId="190" fontId="1" fillId="2" borderId="5" xfId="0" applyNumberFormat="1" applyFont="1" applyFill="1" applyBorder="1" applyProtection="1"/>
    <xf numFmtId="0" fontId="0" fillId="0" borderId="0" xfId="0" applyProtection="1"/>
    <xf numFmtId="0" fontId="1" fillId="0" borderId="0" xfId="0" applyFont="1" applyBorder="1" applyProtection="1"/>
    <xf numFmtId="0" fontId="3" fillId="2" borderId="0" xfId="0" applyFont="1" applyFill="1" applyAlignment="1" applyProtection="1">
      <alignment horizontal="right"/>
    </xf>
    <xf numFmtId="192" fontId="1" fillId="2" borderId="0" xfId="0" applyNumberFormat="1" applyFont="1" applyFill="1" applyAlignment="1" applyProtection="1">
      <alignment horizontal="right"/>
    </xf>
    <xf numFmtId="192" fontId="1" fillId="2" borderId="0" xfId="0" applyNumberFormat="1" applyFont="1" applyFill="1" applyBorder="1" applyAlignment="1" applyProtection="1">
      <alignment horizontal="right"/>
    </xf>
    <xf numFmtId="192" fontId="1" fillId="2" borderId="0" xfId="0" applyNumberFormat="1" applyFont="1" applyFill="1" applyBorder="1" applyProtection="1"/>
    <xf numFmtId="0" fontId="1" fillId="0" borderId="0" xfId="0" applyFont="1" applyFill="1" applyBorder="1" applyAlignment="1" applyProtection="1">
      <alignment horizontal="right"/>
    </xf>
    <xf numFmtId="179" fontId="1" fillId="0" borderId="0" xfId="0" applyNumberFormat="1" applyFont="1" applyFill="1" applyBorder="1" applyProtection="1"/>
    <xf numFmtId="0" fontId="1" fillId="0" borderId="0" xfId="0" applyFont="1" applyFill="1" applyBorder="1" applyProtection="1"/>
    <xf numFmtId="0" fontId="1" fillId="2" borderId="0" xfId="0" applyFont="1" applyFill="1" applyAlignment="1" applyProtection="1">
      <alignment horizontal="right"/>
    </xf>
    <xf numFmtId="0" fontId="1" fillId="0" borderId="0" xfId="0" applyFont="1" applyFill="1" applyProtection="1"/>
    <xf numFmtId="0" fontId="2" fillId="2" borderId="0" xfId="0" applyFont="1" applyFill="1" applyBorder="1" applyAlignment="1" applyProtection="1">
      <alignment horizontal="centerContinuous"/>
    </xf>
    <xf numFmtId="192" fontId="1" fillId="0" borderId="0" xfId="0" applyNumberFormat="1" applyFont="1" applyProtection="1"/>
    <xf numFmtId="0" fontId="2" fillId="2" borderId="0" xfId="0" applyFont="1" applyFill="1" applyAlignment="1" applyProtection="1"/>
    <xf numFmtId="0" fontId="2" fillId="2" borderId="0" xfId="0" applyFont="1" applyFill="1" applyAlignment="1" applyProtection="1">
      <alignment horizontal="centerContinuous"/>
    </xf>
    <xf numFmtId="0" fontId="1" fillId="2" borderId="0" xfId="0" quotePrefix="1" applyFont="1" applyFill="1" applyAlignment="1" applyProtection="1">
      <alignment horizontal="right"/>
    </xf>
    <xf numFmtId="180" fontId="1" fillId="2" borderId="5" xfId="0" applyNumberFormat="1" applyFont="1" applyFill="1" applyBorder="1" applyProtection="1"/>
    <xf numFmtId="0" fontId="1" fillId="2" borderId="5" xfId="0" applyFont="1" applyFill="1" applyBorder="1" applyProtection="1"/>
    <xf numFmtId="0" fontId="10" fillId="2" borderId="0" xfId="0" applyFont="1" applyFill="1" applyAlignment="1" applyProtection="1">
      <alignment horizontal="centerContinuous"/>
    </xf>
    <xf numFmtId="0" fontId="12" fillId="2" borderId="0" xfId="0" applyFont="1" applyFill="1" applyBorder="1" applyAlignment="1" applyProtection="1">
      <alignment horizontal="right"/>
    </xf>
    <xf numFmtId="0" fontId="1" fillId="2" borderId="6" xfId="0" applyFont="1" applyFill="1" applyBorder="1" applyAlignment="1" applyProtection="1">
      <alignment horizontal="right"/>
    </xf>
    <xf numFmtId="180" fontId="1" fillId="2" borderId="6" xfId="0" applyNumberFormat="1" applyFont="1" applyFill="1" applyBorder="1" applyProtection="1"/>
    <xf numFmtId="188" fontId="1" fillId="2" borderId="0" xfId="0" applyNumberFormat="1" applyFont="1" applyFill="1" applyAlignment="1" applyProtection="1">
      <alignment horizontal="right"/>
    </xf>
    <xf numFmtId="179" fontId="1" fillId="2" borderId="0" xfId="0" applyNumberFormat="1" applyFont="1" applyFill="1" applyProtection="1"/>
    <xf numFmtId="180" fontId="1" fillId="2" borderId="0" xfId="0" applyNumberFormat="1" applyFont="1" applyFill="1" applyProtection="1"/>
    <xf numFmtId="0" fontId="0" fillId="0" borderId="0" xfId="0" applyFill="1" applyProtection="1"/>
    <xf numFmtId="188" fontId="2" fillId="2" borderId="0" xfId="0" applyNumberFormat="1" applyFont="1" applyFill="1" applyBorder="1" applyAlignment="1" applyProtection="1">
      <alignment horizontal="right"/>
    </xf>
    <xf numFmtId="0" fontId="0" fillId="0" borderId="0" xfId="0" applyFill="1"/>
    <xf numFmtId="188" fontId="2" fillId="0" borderId="0" xfId="0" applyNumberFormat="1" applyFont="1" applyFill="1" applyBorder="1" applyAlignment="1" applyProtection="1">
      <alignment horizontal="right"/>
    </xf>
    <xf numFmtId="0" fontId="2" fillId="0" borderId="0" xfId="0" applyFont="1" applyFill="1" applyBorder="1" applyAlignment="1" applyProtection="1">
      <alignment horizontal="right"/>
    </xf>
    <xf numFmtId="0" fontId="0" fillId="2" borderId="0" xfId="0" applyFill="1"/>
    <xf numFmtId="178" fontId="1" fillId="2" borderId="0" xfId="0" applyNumberFormat="1" applyFont="1" applyFill="1" applyProtection="1"/>
    <xf numFmtId="0" fontId="1" fillId="0" borderId="0" xfId="0" applyFont="1"/>
    <xf numFmtId="178" fontId="1" fillId="2" borderId="5" xfId="0" applyNumberFormat="1" applyFont="1" applyFill="1" applyBorder="1" applyProtection="1"/>
    <xf numFmtId="183" fontId="1" fillId="2" borderId="5" xfId="0" applyNumberFormat="1" applyFont="1" applyFill="1" applyBorder="1" applyProtection="1"/>
    <xf numFmtId="0" fontId="1" fillId="0" borderId="0" xfId="0" applyFont="1" applyAlignment="1" applyProtection="1">
      <alignment horizontal="right"/>
    </xf>
    <xf numFmtId="1" fontId="1" fillId="2" borderId="0" xfId="0" applyNumberFormat="1" applyFont="1" applyFill="1" applyBorder="1" applyProtection="1"/>
    <xf numFmtId="180" fontId="13" fillId="2" borderId="0" xfId="0" applyNumberFormat="1" applyFont="1" applyFill="1" applyBorder="1" applyAlignment="1" applyProtection="1">
      <alignment horizontal="right"/>
    </xf>
    <xf numFmtId="0" fontId="1" fillId="2" borderId="0" xfId="0" applyFont="1" applyFill="1" applyAlignment="1">
      <alignment horizontal="right"/>
    </xf>
    <xf numFmtId="0" fontId="1" fillId="2" borderId="0" xfId="0" applyFont="1" applyFill="1"/>
    <xf numFmtId="178" fontId="1" fillId="2" borderId="0" xfId="0" applyNumberFormat="1" applyFont="1" applyFill="1" applyBorder="1" applyProtection="1"/>
    <xf numFmtId="180" fontId="1" fillId="0" borderId="0" xfId="0" applyNumberFormat="1" applyFont="1" applyFill="1" applyBorder="1" applyProtection="1"/>
    <xf numFmtId="0" fontId="1" fillId="0" borderId="0" xfId="0" quotePrefix="1" applyFont="1" applyProtection="1"/>
    <xf numFmtId="0" fontId="2" fillId="0" borderId="0" xfId="0" applyFont="1" applyProtection="1"/>
    <xf numFmtId="0" fontId="2" fillId="2" borderId="1" xfId="0" applyFont="1" applyFill="1" applyBorder="1" applyAlignment="1" applyProtection="1">
      <alignment horizontal="right"/>
    </xf>
    <xf numFmtId="0" fontId="2" fillId="2" borderId="3" xfId="0" applyFont="1" applyFill="1" applyBorder="1" applyAlignment="1" applyProtection="1">
      <alignment horizontal="right"/>
    </xf>
    <xf numFmtId="0" fontId="10" fillId="3" borderId="7" xfId="0" applyFont="1" applyFill="1" applyBorder="1" applyAlignment="1" applyProtection="1">
      <alignment horizontal="right"/>
    </xf>
    <xf numFmtId="0" fontId="10" fillId="3" borderId="8" xfId="0" applyFont="1" applyFill="1" applyBorder="1" applyAlignment="1" applyProtection="1">
      <alignment horizontal="right"/>
    </xf>
    <xf numFmtId="188" fontId="10" fillId="3" borderId="9" xfId="0" applyNumberFormat="1" applyFont="1" applyFill="1" applyBorder="1" applyAlignment="1" applyProtection="1">
      <alignment horizontal="right"/>
    </xf>
    <xf numFmtId="0" fontId="10" fillId="3" borderId="10" xfId="0" applyFont="1" applyFill="1" applyBorder="1" applyAlignment="1" applyProtection="1">
      <alignment horizontal="right"/>
    </xf>
    <xf numFmtId="0" fontId="10" fillId="3" borderId="11" xfId="0" applyFont="1" applyFill="1" applyBorder="1" applyAlignment="1" applyProtection="1">
      <alignment horizontal="right"/>
    </xf>
    <xf numFmtId="188" fontId="10" fillId="3" borderId="12" xfId="0" applyNumberFormat="1" applyFont="1" applyFill="1" applyBorder="1" applyAlignment="1" applyProtection="1">
      <alignment horizontal="right"/>
    </xf>
    <xf numFmtId="0" fontId="10" fillId="3" borderId="1" xfId="0" applyFont="1" applyFill="1" applyBorder="1" applyAlignment="1" applyProtection="1">
      <alignment horizontal="right"/>
    </xf>
    <xf numFmtId="0" fontId="10" fillId="3" borderId="3" xfId="0" applyFont="1" applyFill="1" applyBorder="1" applyAlignment="1" applyProtection="1">
      <alignment horizontal="right"/>
    </xf>
    <xf numFmtId="0" fontId="1" fillId="0" borderId="0" xfId="0" applyFont="1" applyAlignment="1" applyProtection="1">
      <alignment horizontal="left"/>
    </xf>
    <xf numFmtId="0" fontId="2" fillId="0" borderId="0" xfId="0" applyFont="1" applyAlignment="1" applyProtection="1">
      <alignment horizontal="left"/>
    </xf>
    <xf numFmtId="0" fontId="2" fillId="0" borderId="0" xfId="0" applyFont="1"/>
    <xf numFmtId="0" fontId="9" fillId="2" borderId="0" xfId="0" applyFont="1" applyFill="1" applyAlignment="1" applyProtection="1">
      <alignment horizontal="center"/>
    </xf>
    <xf numFmtId="0" fontId="9" fillId="2" borderId="0" xfId="0" applyFont="1" applyFill="1" applyAlignment="1" applyProtection="1">
      <alignment horizontal="centerContinuous"/>
    </xf>
    <xf numFmtId="0" fontId="2" fillId="4" borderId="1" xfId="0" applyFont="1" applyFill="1" applyBorder="1" applyAlignment="1" applyProtection="1">
      <alignment horizontal="right"/>
    </xf>
    <xf numFmtId="0" fontId="1" fillId="4" borderId="0" xfId="0" applyFont="1" applyFill="1" applyProtection="1"/>
    <xf numFmtId="0" fontId="2" fillId="4" borderId="3" xfId="0" applyFont="1" applyFill="1" applyBorder="1" applyAlignment="1" applyProtection="1">
      <alignment horizontal="right"/>
    </xf>
    <xf numFmtId="0" fontId="10" fillId="3" borderId="2" xfId="0" applyFont="1" applyFill="1" applyBorder="1" applyAlignment="1" applyProtection="1">
      <alignment horizontal="right"/>
    </xf>
    <xf numFmtId="191" fontId="10" fillId="3" borderId="2" xfId="0" applyNumberFormat="1" applyFont="1" applyFill="1" applyBorder="1" applyAlignment="1" applyProtection="1">
      <alignment horizontal="centerContinuous"/>
    </xf>
    <xf numFmtId="0" fontId="1" fillId="3" borderId="0" xfId="0" applyFont="1" applyFill="1" applyProtection="1"/>
    <xf numFmtId="0" fontId="10" fillId="3" borderId="4" xfId="0" applyFont="1" applyFill="1" applyBorder="1" applyAlignment="1" applyProtection="1">
      <alignment horizontal="right"/>
    </xf>
    <xf numFmtId="191" fontId="10" fillId="3" borderId="4" xfId="0" applyNumberFormat="1" applyFont="1" applyFill="1" applyBorder="1" applyAlignment="1" applyProtection="1">
      <alignment horizontal="centerContinuous"/>
    </xf>
    <xf numFmtId="0" fontId="16" fillId="3" borderId="0" xfId="0" applyFont="1" applyFill="1"/>
    <xf numFmtId="0" fontId="14" fillId="3" borderId="0" xfId="0" applyFont="1" applyFill="1" applyProtection="1"/>
    <xf numFmtId="0" fontId="10" fillId="3" borderId="13" xfId="0" applyFont="1" applyFill="1" applyBorder="1" applyAlignment="1" applyProtection="1">
      <alignment horizontal="right"/>
    </xf>
    <xf numFmtId="0" fontId="14" fillId="3" borderId="0" xfId="0" applyFont="1" applyFill="1"/>
    <xf numFmtId="0" fontId="2" fillId="4" borderId="14" xfId="0" applyFont="1" applyFill="1" applyBorder="1" applyAlignment="1" applyProtection="1">
      <alignment horizontal="right"/>
    </xf>
    <xf numFmtId="0" fontId="13" fillId="4" borderId="5" xfId="0" applyFont="1" applyFill="1" applyBorder="1" applyAlignment="1" applyProtection="1">
      <alignment horizontal="right"/>
    </xf>
    <xf numFmtId="0" fontId="2" fillId="4" borderId="15" xfId="0" applyFont="1" applyFill="1" applyBorder="1" applyAlignment="1" applyProtection="1"/>
    <xf numFmtId="0" fontId="1" fillId="4" borderId="0" xfId="0" applyFont="1" applyFill="1" applyBorder="1" applyAlignment="1" applyProtection="1">
      <alignment horizontal="right"/>
    </xf>
    <xf numFmtId="1" fontId="2" fillId="4" borderId="16" xfId="0" applyNumberFormat="1" applyFont="1" applyFill="1" applyBorder="1" applyAlignment="1" applyProtection="1">
      <alignment horizontal="right"/>
    </xf>
    <xf numFmtId="0" fontId="2" fillId="4" borderId="17" xfId="0" applyFont="1" applyFill="1" applyBorder="1" applyAlignment="1" applyProtection="1">
      <alignment horizontal="right"/>
    </xf>
    <xf numFmtId="1" fontId="9" fillId="4" borderId="18" xfId="0" applyNumberFormat="1" applyFont="1" applyFill="1" applyBorder="1" applyAlignment="1" applyProtection="1">
      <alignment horizontal="right"/>
    </xf>
    <xf numFmtId="191" fontId="2" fillId="4" borderId="1" xfId="0" applyNumberFormat="1" applyFont="1" applyFill="1" applyBorder="1" applyAlignment="1" applyProtection="1"/>
    <xf numFmtId="191" fontId="2" fillId="4" borderId="19" xfId="0" applyNumberFormat="1" applyFont="1" applyFill="1" applyBorder="1" applyAlignment="1" applyProtection="1"/>
    <xf numFmtId="0" fontId="9" fillId="4" borderId="20" xfId="0" applyFont="1" applyFill="1" applyBorder="1" applyAlignment="1" applyProtection="1">
      <alignment horizontal="right"/>
    </xf>
    <xf numFmtId="1" fontId="9" fillId="4" borderId="8" xfId="0" applyNumberFormat="1" applyFont="1" applyFill="1" applyBorder="1" applyAlignment="1" applyProtection="1">
      <alignment horizontal="right"/>
    </xf>
    <xf numFmtId="1" fontId="9" fillId="4" borderId="21" xfId="0" applyNumberFormat="1" applyFont="1" applyFill="1" applyBorder="1" applyAlignment="1" applyProtection="1">
      <alignment horizontal="right"/>
    </xf>
    <xf numFmtId="0" fontId="9" fillId="4" borderId="22" xfId="0" applyFont="1" applyFill="1" applyBorder="1" applyAlignment="1" applyProtection="1">
      <alignment horizontal="right"/>
    </xf>
    <xf numFmtId="0" fontId="9" fillId="4" borderId="23" xfId="0" applyFont="1" applyFill="1" applyBorder="1" applyAlignment="1" applyProtection="1">
      <alignment horizontal="right"/>
    </xf>
    <xf numFmtId="0" fontId="9" fillId="4" borderId="24" xfId="0" applyFont="1" applyFill="1" applyBorder="1" applyAlignment="1" applyProtection="1">
      <alignment horizontal="right"/>
    </xf>
    <xf numFmtId="188" fontId="9" fillId="4" borderId="4" xfId="0" applyNumberFormat="1" applyFont="1" applyFill="1" applyBorder="1" applyAlignment="1" applyProtection="1">
      <alignment horizontal="right"/>
    </xf>
    <xf numFmtId="0" fontId="1" fillId="2" borderId="25" xfId="0" applyFont="1" applyFill="1" applyBorder="1" applyProtection="1"/>
    <xf numFmtId="179" fontId="1" fillId="2" borderId="26" xfId="0" applyNumberFormat="1" applyFont="1" applyFill="1" applyBorder="1" applyProtection="1"/>
    <xf numFmtId="0" fontId="11" fillId="2" borderId="27" xfId="0" applyFont="1" applyFill="1" applyBorder="1" applyProtection="1">
      <protection locked="0"/>
    </xf>
    <xf numFmtId="0" fontId="2" fillId="2" borderId="28" xfId="0" applyFont="1" applyFill="1" applyBorder="1" applyAlignment="1" applyProtection="1">
      <alignment horizontal="right"/>
      <protection locked="0"/>
    </xf>
    <xf numFmtId="0" fontId="1" fillId="2" borderId="29" xfId="0" applyFont="1" applyFill="1" applyBorder="1" applyProtection="1">
      <protection locked="0"/>
    </xf>
    <xf numFmtId="0" fontId="11" fillId="2" borderId="25" xfId="0" applyFont="1" applyFill="1" applyBorder="1" applyProtection="1">
      <protection locked="0"/>
    </xf>
    <xf numFmtId="0" fontId="2" fillId="2" borderId="0" xfId="0" applyFont="1" applyFill="1" applyBorder="1" applyAlignment="1" applyProtection="1">
      <alignment horizontal="right"/>
      <protection locked="0"/>
    </xf>
    <xf numFmtId="0" fontId="1" fillId="2" borderId="30" xfId="0" applyFont="1" applyFill="1" applyBorder="1" applyProtection="1">
      <protection locked="0"/>
    </xf>
    <xf numFmtId="0" fontId="11" fillId="2" borderId="22" xfId="0" applyFont="1" applyFill="1" applyBorder="1" applyProtection="1">
      <protection locked="0"/>
    </xf>
    <xf numFmtId="0" fontId="2" fillId="2" borderId="31" xfId="0" applyFont="1" applyFill="1" applyBorder="1" applyAlignment="1" applyProtection="1">
      <alignment horizontal="right"/>
      <protection locked="0"/>
    </xf>
    <xf numFmtId="0" fontId="1" fillId="2" borderId="4" xfId="0" applyFont="1" applyFill="1" applyBorder="1" applyProtection="1">
      <protection locked="0"/>
    </xf>
    <xf numFmtId="202" fontId="1" fillId="0" borderId="0" xfId="0" applyNumberFormat="1" applyFont="1" applyProtection="1"/>
    <xf numFmtId="1" fontId="1" fillId="2" borderId="0" xfId="0" applyNumberFormat="1" applyFont="1" applyFill="1" applyBorder="1" applyAlignment="1" applyProtection="1">
      <alignment horizontal="right"/>
    </xf>
    <xf numFmtId="180" fontId="1" fillId="2" borderId="0" xfId="0" applyNumberFormat="1" applyFont="1" applyFill="1" applyBorder="1" applyProtection="1"/>
    <xf numFmtId="0" fontId="11" fillId="2" borderId="0" xfId="0" applyFont="1" applyFill="1" applyBorder="1" applyProtection="1">
      <protection locked="0"/>
    </xf>
    <xf numFmtId="0" fontId="1" fillId="2" borderId="0" xfId="0" applyFont="1" applyFill="1" applyBorder="1" applyProtection="1">
      <protection locked="0"/>
    </xf>
    <xf numFmtId="0" fontId="2" fillId="2" borderId="20" xfId="0" applyFont="1" applyFill="1" applyBorder="1" applyAlignment="1" applyProtection="1">
      <alignment horizontal="right"/>
    </xf>
    <xf numFmtId="0" fontId="2" fillId="2" borderId="22" xfId="0" applyFont="1" applyFill="1" applyBorder="1" applyAlignment="1" applyProtection="1">
      <alignment horizontal="right"/>
    </xf>
    <xf numFmtId="0" fontId="2" fillId="2" borderId="32" xfId="0" applyFont="1" applyFill="1" applyBorder="1" applyAlignment="1" applyProtection="1">
      <alignment horizontal="right"/>
    </xf>
    <xf numFmtId="0" fontId="1" fillId="2" borderId="28" xfId="0" applyFont="1" applyFill="1" applyBorder="1" applyProtection="1">
      <protection locked="0"/>
    </xf>
    <xf numFmtId="0" fontId="1" fillId="2" borderId="31" xfId="0" applyFont="1" applyFill="1" applyBorder="1" applyProtection="1">
      <protection locked="0"/>
    </xf>
    <xf numFmtId="0" fontId="2" fillId="2" borderId="25" xfId="0" applyFont="1" applyFill="1" applyBorder="1" applyAlignment="1" applyProtection="1">
      <alignment horizontal="right"/>
    </xf>
    <xf numFmtId="0" fontId="2" fillId="2" borderId="33" xfId="0" applyFont="1" applyFill="1" applyBorder="1" applyAlignment="1" applyProtection="1">
      <alignment horizontal="right"/>
      <protection locked="0"/>
    </xf>
    <xf numFmtId="0" fontId="2" fillId="2" borderId="34" xfId="0" applyFont="1" applyFill="1" applyBorder="1" applyProtection="1">
      <protection locked="0"/>
    </xf>
    <xf numFmtId="0" fontId="2" fillId="2" borderId="15" xfId="0" applyFont="1" applyFill="1" applyBorder="1" applyProtection="1">
      <protection locked="0"/>
    </xf>
    <xf numFmtId="0" fontId="11" fillId="2" borderId="28" xfId="0" applyFont="1" applyFill="1" applyBorder="1" applyProtection="1">
      <protection locked="0"/>
    </xf>
    <xf numFmtId="0" fontId="11" fillId="2" borderId="31" xfId="0" applyFont="1" applyFill="1" applyBorder="1" applyProtection="1">
      <protection locked="0"/>
    </xf>
    <xf numFmtId="0" fontId="2" fillId="2" borderId="35" xfId="0" applyFont="1" applyFill="1" applyBorder="1" applyAlignment="1" applyProtection="1">
      <alignment horizontal="right"/>
    </xf>
    <xf numFmtId="0" fontId="2" fillId="2" borderId="19" xfId="0" applyFont="1" applyFill="1" applyBorder="1" applyAlignment="1" applyProtection="1">
      <alignment horizontal="right"/>
    </xf>
    <xf numFmtId="0" fontId="18" fillId="0" borderId="0" xfId="0" applyFont="1" applyProtection="1"/>
    <xf numFmtId="0" fontId="10" fillId="3" borderId="0" xfId="0" applyFont="1" applyFill="1" applyBorder="1" applyAlignment="1" applyProtection="1">
      <alignment horizontal="right"/>
    </xf>
    <xf numFmtId="188" fontId="10" fillId="3" borderId="0" xfId="0" applyNumberFormat="1" applyFont="1" applyFill="1" applyBorder="1" applyAlignment="1" applyProtection="1">
      <alignment horizontal="right"/>
    </xf>
    <xf numFmtId="0" fontId="10" fillId="3" borderId="35" xfId="0" applyFont="1" applyFill="1" applyBorder="1" applyAlignment="1" applyProtection="1">
      <alignment horizontal="right"/>
    </xf>
    <xf numFmtId="0" fontId="10" fillId="3" borderId="19" xfId="0" applyFont="1" applyFill="1" applyBorder="1" applyAlignment="1" applyProtection="1">
      <alignment horizontal="right"/>
    </xf>
    <xf numFmtId="191" fontId="2" fillId="4" borderId="36" xfId="0" applyNumberFormat="1" applyFont="1" applyFill="1" applyBorder="1" applyAlignment="1" applyProtection="1"/>
    <xf numFmtId="0" fontId="2" fillId="4" borderId="35" xfId="0" applyFont="1" applyFill="1" applyBorder="1" applyAlignment="1" applyProtection="1">
      <alignment horizontal="right"/>
    </xf>
    <xf numFmtId="0" fontId="2" fillId="4" borderId="19" xfId="0" applyFont="1" applyFill="1" applyBorder="1" applyAlignment="1" applyProtection="1">
      <alignment horizontal="right"/>
    </xf>
    <xf numFmtId="0" fontId="2" fillId="4" borderId="7" xfId="0" applyFont="1" applyFill="1" applyBorder="1" applyAlignment="1" applyProtection="1">
      <alignment horizontal="right"/>
    </xf>
    <xf numFmtId="0" fontId="2" fillId="4" borderId="8" xfId="0" applyFont="1" applyFill="1" applyBorder="1" applyAlignment="1" applyProtection="1">
      <alignment horizontal="right"/>
    </xf>
    <xf numFmtId="188" fontId="2" fillId="4" borderId="9" xfId="0" applyNumberFormat="1" applyFont="1" applyFill="1" applyBorder="1" applyAlignment="1" applyProtection="1">
      <alignment horizontal="right"/>
    </xf>
    <xf numFmtId="0" fontId="2" fillId="4" borderId="11" xfId="0" applyFont="1" applyFill="1" applyBorder="1" applyAlignment="1" applyProtection="1">
      <alignment horizontal="right"/>
    </xf>
    <xf numFmtId="196" fontId="1" fillId="2" borderId="0" xfId="0" applyNumberFormat="1" applyFont="1" applyFill="1" applyAlignment="1" applyProtection="1">
      <alignment horizontal="right"/>
    </xf>
    <xf numFmtId="179" fontId="1" fillId="2" borderId="0" xfId="0" applyNumberFormat="1" applyFont="1" applyFill="1" applyBorder="1" applyProtection="1"/>
    <xf numFmtId="0" fontId="10" fillId="0" borderId="0" xfId="0" applyFont="1" applyFill="1" applyAlignment="1" applyProtection="1">
      <alignment horizontal="center"/>
    </xf>
    <xf numFmtId="179" fontId="1" fillId="2" borderId="5" xfId="0" applyNumberFormat="1" applyFont="1" applyFill="1" applyBorder="1" applyProtection="1"/>
    <xf numFmtId="181" fontId="1" fillId="2" borderId="37" xfId="0" applyNumberFormat="1" applyFont="1" applyFill="1" applyBorder="1" applyProtection="1"/>
    <xf numFmtId="191" fontId="1" fillId="2" borderId="0" xfId="0" applyNumberFormat="1" applyFont="1" applyFill="1" applyBorder="1" applyAlignment="1" applyProtection="1"/>
    <xf numFmtId="196" fontId="1" fillId="0" borderId="0" xfId="0" applyNumberFormat="1" applyFont="1" applyFill="1" applyAlignment="1" applyProtection="1">
      <alignment horizontal="right"/>
    </xf>
    <xf numFmtId="180" fontId="1" fillId="2" borderId="37" xfId="0" applyNumberFormat="1" applyFont="1" applyFill="1" applyBorder="1" applyProtection="1"/>
    <xf numFmtId="0" fontId="3" fillId="0" borderId="0" xfId="0" applyFont="1" applyFill="1" applyAlignment="1" applyProtection="1">
      <alignment horizontal="right"/>
    </xf>
    <xf numFmtId="0" fontId="11" fillId="0" borderId="0" xfId="0" applyFont="1"/>
    <xf numFmtId="0" fontId="10" fillId="4" borderId="0" xfId="0" applyFont="1" applyFill="1" applyBorder="1" applyAlignment="1" applyProtection="1">
      <alignment horizontal="right"/>
    </xf>
    <xf numFmtId="188" fontId="10" fillId="4" borderId="0" xfId="0" applyNumberFormat="1" applyFont="1" applyFill="1" applyBorder="1" applyAlignment="1" applyProtection="1">
      <alignment horizontal="right"/>
    </xf>
    <xf numFmtId="0" fontId="10" fillId="0" borderId="0" xfId="0" applyFont="1" applyFill="1" applyBorder="1" applyAlignment="1" applyProtection="1">
      <alignment horizontal="center"/>
    </xf>
    <xf numFmtId="181" fontId="1" fillId="0" borderId="0" xfId="0" applyNumberFormat="1" applyFont="1" applyFill="1" applyBorder="1" applyProtection="1"/>
    <xf numFmtId="0" fontId="11" fillId="0" borderId="0" xfId="0" applyFont="1" applyFill="1" applyBorder="1"/>
    <xf numFmtId="0" fontId="2" fillId="4" borderId="20" xfId="0" applyFont="1" applyFill="1" applyBorder="1" applyAlignment="1" applyProtection="1">
      <alignment horizontal="right"/>
    </xf>
    <xf numFmtId="0" fontId="2" fillId="4" borderId="38" xfId="0" applyFont="1" applyFill="1" applyBorder="1" applyAlignment="1" applyProtection="1">
      <alignment horizontal="right"/>
    </xf>
    <xf numFmtId="0" fontId="2" fillId="4" borderId="39" xfId="0" applyFont="1" applyFill="1" applyBorder="1" applyAlignment="1" applyProtection="1">
      <alignment horizontal="right"/>
    </xf>
    <xf numFmtId="0" fontId="1" fillId="4" borderId="0" xfId="0" applyFont="1" applyFill="1" applyBorder="1" applyAlignment="1" applyProtection="1">
      <alignment horizontal="left"/>
    </xf>
    <xf numFmtId="191" fontId="2" fillId="4" borderId="35" xfId="0" applyNumberFormat="1" applyFont="1" applyFill="1" applyBorder="1" applyAlignment="1" applyProtection="1">
      <alignment horizontal="right"/>
    </xf>
    <xf numFmtId="188" fontId="9" fillId="4" borderId="2" xfId="0" applyNumberFormat="1" applyFont="1" applyFill="1" applyBorder="1" applyAlignment="1" applyProtection="1">
      <alignment horizontal="right"/>
    </xf>
    <xf numFmtId="186" fontId="1" fillId="2" borderId="0" xfId="0" applyNumberFormat="1" applyFont="1" applyFill="1" applyProtection="1"/>
    <xf numFmtId="188" fontId="2" fillId="4" borderId="12" xfId="0" applyNumberFormat="1" applyFont="1" applyFill="1" applyBorder="1" applyAlignment="1" applyProtection="1">
      <alignment horizontal="right"/>
    </xf>
    <xf numFmtId="188" fontId="2" fillId="4" borderId="40" xfId="0" applyNumberFormat="1" applyFont="1" applyFill="1" applyBorder="1" applyAlignment="1" applyProtection="1">
      <alignment horizontal="right"/>
    </xf>
    <xf numFmtId="188" fontId="9" fillId="4" borderId="15" xfId="0" applyNumberFormat="1" applyFont="1" applyFill="1" applyBorder="1" applyAlignment="1" applyProtection="1">
      <alignment horizontal="right"/>
    </xf>
    <xf numFmtId="190" fontId="2" fillId="4" borderId="34" xfId="0" applyNumberFormat="1" applyFont="1" applyFill="1" applyBorder="1" applyAlignment="1" applyProtection="1"/>
    <xf numFmtId="188" fontId="1" fillId="2" borderId="0" xfId="0" applyNumberFormat="1" applyFont="1" applyFill="1"/>
    <xf numFmtId="188" fontId="1" fillId="2" borderId="0" xfId="0" applyNumberFormat="1" applyFont="1" applyFill="1" applyBorder="1" applyProtection="1"/>
    <xf numFmtId="0" fontId="2" fillId="4" borderId="32" xfId="0" applyFont="1" applyFill="1" applyBorder="1" applyAlignment="1" applyProtection="1">
      <alignment horizontal="right"/>
    </xf>
    <xf numFmtId="0" fontId="10" fillId="3" borderId="37" xfId="0" applyFont="1" applyFill="1" applyBorder="1" applyAlignment="1" applyProtection="1">
      <alignment horizontal="right"/>
    </xf>
    <xf numFmtId="191" fontId="10" fillId="3" borderId="19" xfId="0" applyNumberFormat="1" applyFont="1" applyFill="1" applyBorder="1" applyAlignment="1" applyProtection="1"/>
    <xf numFmtId="0" fontId="2" fillId="4" borderId="37" xfId="0" applyFont="1" applyFill="1" applyBorder="1" applyAlignment="1" applyProtection="1">
      <alignment horizontal="right"/>
    </xf>
    <xf numFmtId="0" fontId="1" fillId="2" borderId="0" xfId="0" quotePrefix="1" applyFont="1" applyFill="1" applyProtection="1"/>
    <xf numFmtId="0" fontId="1" fillId="5" borderId="5" xfId="0" applyFont="1" applyFill="1" applyBorder="1" applyProtection="1">
      <protection locked="0"/>
    </xf>
    <xf numFmtId="191" fontId="2" fillId="5" borderId="9" xfId="0" applyNumberFormat="1" applyFont="1" applyFill="1" applyBorder="1" applyProtection="1">
      <protection locked="0"/>
    </xf>
    <xf numFmtId="191" fontId="2" fillId="5" borderId="41" xfId="0" applyNumberFormat="1" applyFont="1" applyFill="1" applyBorder="1" applyProtection="1">
      <protection locked="0"/>
    </xf>
    <xf numFmtId="181" fontId="2" fillId="5" borderId="41" xfId="0" applyNumberFormat="1" applyFont="1" applyFill="1" applyBorder="1" applyProtection="1">
      <protection locked="0"/>
    </xf>
    <xf numFmtId="191" fontId="2" fillId="5" borderId="12" xfId="0" applyNumberFormat="1" applyFont="1" applyFill="1" applyBorder="1" applyProtection="1">
      <protection locked="0"/>
    </xf>
    <xf numFmtId="0" fontId="2" fillId="5" borderId="42" xfId="0" applyFont="1" applyFill="1" applyBorder="1" applyAlignment="1" applyProtection="1">
      <alignment horizontal="right"/>
      <protection locked="0"/>
    </xf>
    <xf numFmtId="0" fontId="2" fillId="5" borderId="43" xfId="0" applyFont="1" applyFill="1" applyBorder="1" applyProtection="1">
      <protection locked="0"/>
    </xf>
    <xf numFmtId="0" fontId="2" fillId="5" borderId="8" xfId="0" applyFont="1" applyFill="1" applyBorder="1" applyProtection="1">
      <protection locked="0"/>
    </xf>
    <xf numFmtId="0" fontId="2" fillId="5" borderId="42" xfId="0" applyFont="1" applyFill="1" applyBorder="1" applyProtection="1">
      <protection locked="0"/>
    </xf>
    <xf numFmtId="0" fontId="2" fillId="5" borderId="31" xfId="0" applyFont="1" applyFill="1" applyBorder="1" applyAlignment="1" applyProtection="1">
      <alignment horizontal="right"/>
      <protection locked="0"/>
    </xf>
    <xf numFmtId="0" fontId="2" fillId="5" borderId="44" xfId="0" applyFont="1" applyFill="1" applyBorder="1" applyProtection="1">
      <protection locked="0"/>
    </xf>
    <xf numFmtId="0" fontId="2" fillId="5" borderId="23" xfId="0" applyFont="1" applyFill="1" applyBorder="1" applyProtection="1">
      <protection locked="0"/>
    </xf>
    <xf numFmtId="0" fontId="2" fillId="5" borderId="31" xfId="0" applyFont="1" applyFill="1" applyBorder="1" applyProtection="1">
      <protection locked="0"/>
    </xf>
    <xf numFmtId="0" fontId="2" fillId="5" borderId="20" xfId="0" applyFont="1" applyFill="1" applyBorder="1" applyAlignment="1" applyProtection="1">
      <alignment horizontal="right"/>
      <protection locked="0"/>
    </xf>
    <xf numFmtId="188" fontId="2" fillId="5" borderId="2" xfId="0" applyNumberFormat="1" applyFont="1" applyFill="1" applyBorder="1" applyProtection="1">
      <protection locked="0"/>
    </xf>
    <xf numFmtId="0" fontId="2" fillId="5" borderId="22" xfId="0" applyFont="1" applyFill="1" applyBorder="1" applyAlignment="1" applyProtection="1">
      <alignment horizontal="right"/>
      <protection locked="0"/>
    </xf>
    <xf numFmtId="188" fontId="2" fillId="5" borderId="4" xfId="0" applyNumberFormat="1" applyFont="1" applyFill="1" applyBorder="1" applyProtection="1">
      <protection locked="0"/>
    </xf>
    <xf numFmtId="191" fontId="2" fillId="5" borderId="0" xfId="0" applyNumberFormat="1" applyFont="1" applyFill="1" applyBorder="1" applyProtection="1">
      <protection locked="0"/>
    </xf>
    <xf numFmtId="191" fontId="1" fillId="5" borderId="5" xfId="0" applyNumberFormat="1" applyFont="1" applyFill="1" applyBorder="1" applyProtection="1">
      <protection locked="0"/>
    </xf>
    <xf numFmtId="186" fontId="1" fillId="5" borderId="5" xfId="0" applyNumberFormat="1" applyFont="1" applyFill="1" applyBorder="1" applyProtection="1">
      <protection locked="0"/>
    </xf>
    <xf numFmtId="0" fontId="1" fillId="5" borderId="8" xfId="0" applyFont="1" applyFill="1" applyBorder="1" applyProtection="1">
      <protection locked="0"/>
    </xf>
    <xf numFmtId="0" fontId="1" fillId="2" borderId="9" xfId="0" applyFont="1" applyFill="1" applyBorder="1" applyProtection="1"/>
    <xf numFmtId="0" fontId="1" fillId="2" borderId="41" xfId="0" applyFont="1" applyFill="1" applyBorder="1" applyProtection="1"/>
    <xf numFmtId="0" fontId="1" fillId="5" borderId="11" xfId="0" applyFont="1" applyFill="1" applyBorder="1" applyProtection="1">
      <protection locked="0"/>
    </xf>
    <xf numFmtId="0" fontId="1" fillId="2" borderId="12" xfId="0" applyFont="1" applyFill="1" applyBorder="1" applyProtection="1"/>
    <xf numFmtId="0" fontId="2" fillId="2" borderId="7" xfId="0" applyFont="1" applyFill="1" applyBorder="1" applyProtection="1"/>
    <xf numFmtId="0" fontId="2" fillId="2" borderId="26" xfId="0" applyFont="1" applyFill="1" applyBorder="1" applyProtection="1"/>
    <xf numFmtId="0" fontId="2" fillId="2" borderId="10" xfId="0" applyFont="1" applyFill="1" applyBorder="1" applyProtection="1"/>
    <xf numFmtId="186" fontId="1" fillId="2" borderId="0" xfId="0" applyNumberFormat="1" applyFont="1" applyFill="1" applyAlignment="1" applyProtection="1">
      <alignment horizontal="right"/>
    </xf>
    <xf numFmtId="191" fontId="1" fillId="2" borderId="0" xfId="0" applyNumberFormat="1" applyFont="1" applyFill="1" applyAlignment="1" applyProtection="1">
      <alignment horizontal="right"/>
    </xf>
    <xf numFmtId="0" fontId="1" fillId="2" borderId="0" xfId="0" applyFont="1" applyFill="1" applyAlignment="1" applyProtection="1">
      <alignment horizontal="left"/>
    </xf>
    <xf numFmtId="0" fontId="10" fillId="3" borderId="45" xfId="0" applyFont="1" applyFill="1" applyBorder="1" applyAlignment="1" applyProtection="1">
      <alignment horizontal="right"/>
    </xf>
    <xf numFmtId="0" fontId="1" fillId="0" borderId="0" xfId="0" applyFont="1" applyFill="1" applyBorder="1"/>
    <xf numFmtId="0" fontId="1" fillId="2" borderId="0" xfId="0" applyFont="1" applyFill="1" applyBorder="1" applyAlignment="1" applyProtection="1">
      <alignment horizontal="left"/>
    </xf>
    <xf numFmtId="0" fontId="1" fillId="2" borderId="0" xfId="0" applyFont="1" applyFill="1" applyBorder="1"/>
    <xf numFmtId="179" fontId="1" fillId="2" borderId="27" xfId="0" applyNumberFormat="1" applyFont="1" applyFill="1" applyBorder="1"/>
    <xf numFmtId="192" fontId="1" fillId="2" borderId="29" xfId="0" applyNumberFormat="1" applyFont="1" applyFill="1" applyBorder="1"/>
    <xf numFmtId="192" fontId="1" fillId="2" borderId="25" xfId="0" applyNumberFormat="1" applyFont="1" applyFill="1" applyBorder="1"/>
    <xf numFmtId="179" fontId="1" fillId="2" borderId="0" xfId="0" applyNumberFormat="1" applyFont="1" applyFill="1" applyBorder="1"/>
    <xf numFmtId="192" fontId="1" fillId="2" borderId="22" xfId="0" applyNumberFormat="1" applyFont="1" applyFill="1" applyBorder="1"/>
    <xf numFmtId="192" fontId="1" fillId="2" borderId="31" xfId="0" applyNumberFormat="1" applyFont="1" applyFill="1" applyBorder="1"/>
    <xf numFmtId="179" fontId="1" fillId="2" borderId="4" xfId="0" applyNumberFormat="1" applyFont="1" applyFill="1" applyBorder="1"/>
    <xf numFmtId="0" fontId="1" fillId="2" borderId="46" xfId="0" applyFont="1" applyFill="1" applyBorder="1"/>
    <xf numFmtId="0" fontId="1" fillId="2" borderId="47" xfId="0" applyFont="1" applyFill="1" applyBorder="1"/>
    <xf numFmtId="0" fontId="1" fillId="2" borderId="3" xfId="0" applyFont="1" applyFill="1" applyBorder="1"/>
    <xf numFmtId="191" fontId="2" fillId="4" borderId="48" xfId="0" applyNumberFormat="1" applyFont="1" applyFill="1" applyBorder="1" applyAlignment="1" applyProtection="1">
      <alignment horizontal="right"/>
    </xf>
    <xf numFmtId="191" fontId="2" fillId="4" borderId="19" xfId="0" applyNumberFormat="1" applyFont="1" applyFill="1" applyBorder="1" applyAlignment="1" applyProtection="1">
      <alignment horizontal="right"/>
    </xf>
    <xf numFmtId="191" fontId="2" fillId="4" borderId="1" xfId="0" applyNumberFormat="1" applyFont="1" applyFill="1" applyBorder="1" applyAlignment="1" applyProtection="1">
      <alignment horizontal="right"/>
    </xf>
    <xf numFmtId="191" fontId="10" fillId="3" borderId="1" xfId="0" applyNumberFormat="1" applyFont="1" applyFill="1" applyBorder="1" applyAlignment="1" applyProtection="1">
      <alignment horizontal="right"/>
    </xf>
    <xf numFmtId="191" fontId="2" fillId="5" borderId="42" xfId="0" applyNumberFormat="1" applyFont="1" applyFill="1" applyBorder="1" applyAlignment="1" applyProtection="1">
      <alignment horizontal="right"/>
      <protection locked="0"/>
    </xf>
    <xf numFmtId="191" fontId="2" fillId="5" borderId="31" xfId="0" applyNumberFormat="1" applyFont="1" applyFill="1" applyBorder="1" applyAlignment="1" applyProtection="1">
      <alignment horizontal="right"/>
      <protection locked="0"/>
    </xf>
    <xf numFmtId="191" fontId="2" fillId="5" borderId="0" xfId="0" applyNumberFormat="1" applyFont="1" applyFill="1" applyBorder="1" applyAlignment="1" applyProtection="1">
      <alignment horizontal="right"/>
      <protection locked="0"/>
    </xf>
    <xf numFmtId="191" fontId="2" fillId="5" borderId="1" xfId="0" applyNumberFormat="1" applyFont="1" applyFill="1" applyBorder="1" applyAlignment="1" applyProtection="1">
      <alignment horizontal="right"/>
      <protection locked="0"/>
    </xf>
    <xf numFmtId="191" fontId="2" fillId="5" borderId="35" xfId="0" applyNumberFormat="1" applyFont="1" applyFill="1" applyBorder="1" applyAlignment="1" applyProtection="1">
      <alignment horizontal="right"/>
      <protection locked="0"/>
    </xf>
    <xf numFmtId="191" fontId="2" fillId="5" borderId="19" xfId="0" applyNumberFormat="1" applyFont="1" applyFill="1" applyBorder="1" applyAlignment="1" applyProtection="1">
      <alignment horizontal="right"/>
      <protection locked="0"/>
    </xf>
    <xf numFmtId="0" fontId="1" fillId="2" borderId="25" xfId="0" applyFont="1" applyFill="1" applyBorder="1" applyAlignment="1">
      <alignment horizontal="right"/>
    </xf>
    <xf numFmtId="0" fontId="1" fillId="2" borderId="30" xfId="0" applyFont="1" applyFill="1" applyBorder="1" applyAlignment="1">
      <alignment horizontal="left"/>
    </xf>
    <xf numFmtId="0" fontId="1" fillId="2" borderId="22" xfId="0" applyFont="1" applyFill="1" applyBorder="1" applyAlignment="1">
      <alignment horizontal="right"/>
    </xf>
    <xf numFmtId="0" fontId="1" fillId="2" borderId="4" xfId="0" applyFont="1" applyFill="1" applyBorder="1" applyAlignment="1">
      <alignment horizontal="left"/>
    </xf>
    <xf numFmtId="192" fontId="1" fillId="2" borderId="28" xfId="0" applyNumberFormat="1" applyFont="1" applyFill="1" applyBorder="1"/>
    <xf numFmtId="192" fontId="1" fillId="2" borderId="30" xfId="0" applyNumberFormat="1" applyFont="1" applyFill="1" applyBorder="1"/>
    <xf numFmtId="0" fontId="11" fillId="0" borderId="0" xfId="0" applyFont="1" applyProtection="1"/>
    <xf numFmtId="0" fontId="11" fillId="2" borderId="0" xfId="0" applyFont="1" applyFill="1" applyProtection="1"/>
    <xf numFmtId="0" fontId="1" fillId="0" borderId="0" xfId="0" applyFont="1" applyAlignment="1" applyProtection="1">
      <alignment vertical="center"/>
    </xf>
    <xf numFmtId="0" fontId="1" fillId="2" borderId="0" xfId="0" applyFont="1" applyFill="1" applyAlignment="1" applyProtection="1">
      <alignment vertical="center"/>
    </xf>
    <xf numFmtId="0" fontId="18" fillId="2" borderId="0" xfId="0" applyFont="1" applyFill="1" applyAlignment="1" applyProtection="1">
      <alignment horizontal="right" vertical="center"/>
    </xf>
    <xf numFmtId="0" fontId="10" fillId="3" borderId="1" xfId="0" applyFont="1" applyFill="1" applyBorder="1" applyAlignment="1" applyProtection="1">
      <alignment horizontal="right" vertical="center"/>
    </xf>
    <xf numFmtId="0" fontId="10" fillId="3" borderId="0" xfId="0" applyFont="1" applyFill="1" applyAlignment="1" applyProtection="1">
      <alignment vertical="center"/>
    </xf>
    <xf numFmtId="0" fontId="10" fillId="3" borderId="35" xfId="0" applyFont="1" applyFill="1" applyBorder="1" applyAlignment="1" applyProtection="1">
      <alignment horizontal="right" vertical="center"/>
    </xf>
    <xf numFmtId="0" fontId="10" fillId="3" borderId="19" xfId="0" applyFont="1" applyFill="1" applyBorder="1" applyAlignment="1" applyProtection="1">
      <alignment horizontal="right" vertical="center"/>
    </xf>
    <xf numFmtId="0" fontId="14" fillId="3" borderId="0" xfId="0" applyFont="1" applyFill="1" applyAlignment="1" applyProtection="1">
      <alignment vertical="center"/>
    </xf>
    <xf numFmtId="0" fontId="1" fillId="3" borderId="0" xfId="0" applyFont="1" applyFill="1" applyAlignment="1" applyProtection="1">
      <alignment vertical="center"/>
    </xf>
    <xf numFmtId="0" fontId="2" fillId="4" borderId="32" xfId="0" applyFont="1" applyFill="1" applyBorder="1" applyAlignment="1" applyProtection="1">
      <alignment horizontal="right" vertical="center"/>
    </xf>
    <xf numFmtId="191" fontId="2" fillId="4" borderId="48" xfId="0" applyNumberFormat="1" applyFont="1" applyFill="1" applyBorder="1" applyAlignment="1" applyProtection="1">
      <alignment horizontal="right" vertical="center"/>
    </xf>
    <xf numFmtId="0" fontId="1" fillId="4" borderId="0" xfId="0" applyFont="1" applyFill="1" applyBorder="1" applyAlignment="1" applyProtection="1">
      <alignment horizontal="left" vertical="center"/>
    </xf>
    <xf numFmtId="0" fontId="10" fillId="4" borderId="0" xfId="0" applyFont="1" applyFill="1" applyBorder="1" applyAlignment="1" applyProtection="1">
      <alignment horizontal="right" vertical="center"/>
    </xf>
    <xf numFmtId="188" fontId="10" fillId="4" borderId="0" xfId="0" applyNumberFormat="1" applyFont="1" applyFill="1" applyBorder="1" applyAlignment="1" applyProtection="1">
      <alignment horizontal="right" vertical="center"/>
    </xf>
    <xf numFmtId="0" fontId="2" fillId="4" borderId="0" xfId="0" applyFont="1" applyFill="1" applyAlignment="1" applyProtection="1">
      <alignment vertical="center"/>
    </xf>
    <xf numFmtId="0" fontId="1" fillId="2" borderId="25" xfId="0" applyFont="1" applyFill="1" applyBorder="1" applyAlignment="1" applyProtection="1">
      <alignment horizontal="right" vertical="center"/>
    </xf>
    <xf numFmtId="0" fontId="2" fillId="4" borderId="38" xfId="0" applyFont="1" applyFill="1" applyBorder="1" applyAlignment="1" applyProtection="1">
      <alignment horizontal="right" vertical="center"/>
    </xf>
    <xf numFmtId="191" fontId="2" fillId="4" borderId="35" xfId="0" applyNumberFormat="1" applyFont="1" applyFill="1" applyBorder="1" applyAlignment="1" applyProtection="1">
      <alignment horizontal="right" vertical="center"/>
    </xf>
    <xf numFmtId="0" fontId="1" fillId="2" borderId="22" xfId="0" applyFont="1" applyFill="1" applyBorder="1" applyAlignment="1" applyProtection="1">
      <alignment horizontal="right" vertical="center"/>
    </xf>
    <xf numFmtId="0" fontId="2" fillId="4" borderId="39" xfId="0" applyFont="1" applyFill="1" applyBorder="1" applyAlignment="1" applyProtection="1">
      <alignment horizontal="right" vertical="center"/>
    </xf>
    <xf numFmtId="191" fontId="2" fillId="4" borderId="19" xfId="0" applyNumberFormat="1" applyFont="1" applyFill="1" applyBorder="1" applyAlignment="1" applyProtection="1">
      <alignment horizontal="right" vertical="center"/>
    </xf>
    <xf numFmtId="0" fontId="2" fillId="0" borderId="31" xfId="0" applyFont="1" applyFill="1" applyBorder="1" applyAlignment="1" applyProtection="1">
      <alignment horizontal="right" vertical="center"/>
    </xf>
    <xf numFmtId="191" fontId="2" fillId="0" borderId="31" xfId="0" applyNumberFormat="1" applyFont="1" applyFill="1" applyBorder="1" applyAlignment="1" applyProtection="1">
      <alignment horizontal="right" vertical="center"/>
    </xf>
    <xf numFmtId="0" fontId="1" fillId="0" borderId="31" xfId="0" applyFont="1" applyFill="1" applyBorder="1" applyAlignment="1" applyProtection="1">
      <alignment horizontal="left" vertical="center"/>
    </xf>
    <xf numFmtId="0" fontId="10" fillId="0" borderId="31" xfId="0" applyFont="1" applyFill="1" applyBorder="1" applyAlignment="1" applyProtection="1">
      <alignment horizontal="right" vertical="center"/>
    </xf>
    <xf numFmtId="188" fontId="10" fillId="0" borderId="31" xfId="0" applyNumberFormat="1" applyFont="1" applyFill="1" applyBorder="1" applyAlignment="1" applyProtection="1">
      <alignment horizontal="right" vertical="center"/>
    </xf>
    <xf numFmtId="0" fontId="1" fillId="0" borderId="31" xfId="0" applyFont="1" applyBorder="1" applyAlignment="1" applyProtection="1">
      <alignment vertical="center"/>
    </xf>
    <xf numFmtId="0" fontId="1" fillId="0" borderId="0" xfId="0" applyFont="1" applyFill="1" applyAlignment="1" applyProtection="1">
      <alignment horizontal="right" vertical="center"/>
    </xf>
    <xf numFmtId="196" fontId="1" fillId="0" borderId="0" xfId="0" applyNumberFormat="1" applyFont="1" applyFill="1" applyAlignment="1" applyProtection="1">
      <alignment horizontal="right" vertical="center"/>
    </xf>
    <xf numFmtId="0" fontId="11" fillId="0" borderId="0" xfId="0" applyFont="1" applyAlignment="1" applyProtection="1">
      <alignment vertical="center"/>
    </xf>
    <xf numFmtId="0" fontId="11" fillId="2" borderId="0" xfId="0" applyFont="1" applyFill="1" applyAlignment="1" applyProtection="1">
      <alignment vertical="center"/>
    </xf>
    <xf numFmtId="0" fontId="10" fillId="3" borderId="0" xfId="0" applyFont="1" applyFill="1" applyAlignment="1" applyProtection="1">
      <alignment horizontal="left" vertical="center"/>
    </xf>
    <xf numFmtId="0" fontId="10" fillId="2" borderId="0" xfId="0" applyFont="1" applyFill="1" applyBorder="1" applyAlignment="1" applyProtection="1">
      <alignment horizontal="right" vertical="center"/>
    </xf>
    <xf numFmtId="0" fontId="10" fillId="3" borderId="45" xfId="0" applyFont="1" applyFill="1" applyBorder="1" applyAlignment="1" applyProtection="1">
      <alignment horizontal="right" vertical="center"/>
    </xf>
    <xf numFmtId="0" fontId="2" fillId="4" borderId="1" xfId="0" applyFont="1" applyFill="1" applyBorder="1" applyAlignment="1" applyProtection="1">
      <alignment horizontal="right" vertical="center"/>
    </xf>
    <xf numFmtId="191" fontId="2" fillId="4" borderId="1" xfId="0" applyNumberFormat="1" applyFont="1" applyFill="1" applyBorder="1" applyAlignment="1" applyProtection="1">
      <alignment horizontal="right" vertical="center"/>
    </xf>
    <xf numFmtId="0" fontId="1" fillId="4" borderId="0" xfId="0" applyFont="1" applyFill="1" applyAlignment="1" applyProtection="1">
      <alignment vertical="center"/>
    </xf>
    <xf numFmtId="0" fontId="2" fillId="2" borderId="0" xfId="0" applyFont="1" applyFill="1" applyAlignment="1" applyProtection="1">
      <alignment vertical="center"/>
    </xf>
    <xf numFmtId="0" fontId="2" fillId="4" borderId="35" xfId="0" applyFont="1" applyFill="1" applyBorder="1" applyAlignment="1" applyProtection="1">
      <alignment horizontal="right" vertical="center"/>
    </xf>
    <xf numFmtId="0" fontId="2" fillId="4" borderId="19" xfId="0" applyFont="1" applyFill="1" applyBorder="1" applyAlignment="1" applyProtection="1">
      <alignment horizontal="right" vertical="center"/>
    </xf>
    <xf numFmtId="0" fontId="11" fillId="2" borderId="0" xfId="0" applyFont="1" applyFill="1" applyBorder="1" applyAlignment="1" applyProtection="1">
      <alignment vertical="center"/>
    </xf>
    <xf numFmtId="0" fontId="1" fillId="2" borderId="0" xfId="0" applyFont="1" applyFill="1" applyBorder="1" applyAlignment="1" applyProtection="1">
      <alignment vertical="center"/>
    </xf>
    <xf numFmtId="0" fontId="11" fillId="0" borderId="31" xfId="0" applyFont="1" applyFill="1" applyBorder="1" applyAlignment="1" applyProtection="1">
      <alignment vertical="center"/>
    </xf>
    <xf numFmtId="0" fontId="1" fillId="0" borderId="31" xfId="0" applyFont="1" applyFill="1" applyBorder="1" applyAlignment="1" applyProtection="1">
      <alignment vertical="center"/>
    </xf>
    <xf numFmtId="0" fontId="1" fillId="0" borderId="31" xfId="0" applyFont="1" applyFill="1" applyBorder="1" applyAlignment="1" applyProtection="1">
      <alignment horizontal="right" vertical="center"/>
    </xf>
    <xf numFmtId="186" fontId="1" fillId="0" borderId="31" xfId="0" applyNumberFormat="1" applyFont="1" applyFill="1" applyBorder="1" applyAlignment="1" applyProtection="1">
      <alignment vertical="center"/>
    </xf>
    <xf numFmtId="0" fontId="11" fillId="0" borderId="0" xfId="0" applyFont="1" applyFill="1" applyAlignment="1" applyProtection="1">
      <alignment vertical="center"/>
    </xf>
    <xf numFmtId="0" fontId="14" fillId="3" borderId="0" xfId="0" applyFont="1" applyFill="1" applyBorder="1" applyAlignment="1" applyProtection="1">
      <alignment horizontal="left" vertical="center"/>
    </xf>
    <xf numFmtId="0" fontId="10" fillId="3" borderId="0" xfId="0" applyFont="1" applyFill="1" applyBorder="1" applyAlignment="1" applyProtection="1">
      <alignment horizontal="right" vertical="center"/>
    </xf>
    <xf numFmtId="188" fontId="10" fillId="3" borderId="0" xfId="0" applyNumberFormat="1" applyFont="1" applyFill="1" applyBorder="1" applyAlignment="1" applyProtection="1">
      <alignment horizontal="right" vertical="center"/>
    </xf>
    <xf numFmtId="181" fontId="2" fillId="4" borderId="1" xfId="0" applyNumberFormat="1" applyFont="1" applyFill="1" applyBorder="1" applyAlignment="1" applyProtection="1">
      <alignment vertical="center"/>
    </xf>
    <xf numFmtId="181" fontId="2" fillId="4" borderId="19" xfId="0" applyNumberFormat="1" applyFont="1" applyFill="1" applyBorder="1" applyAlignment="1" applyProtection="1">
      <alignment vertical="center"/>
    </xf>
    <xf numFmtId="179" fontId="1" fillId="2" borderId="0" xfId="0" applyNumberFormat="1" applyFont="1" applyFill="1" applyBorder="1" applyAlignment="1" applyProtection="1">
      <alignment vertical="center"/>
    </xf>
    <xf numFmtId="191" fontId="2" fillId="4" borderId="36" xfId="0" applyNumberFormat="1" applyFont="1" applyFill="1" applyBorder="1" applyAlignment="1" applyProtection="1">
      <alignment vertical="center"/>
    </xf>
    <xf numFmtId="0" fontId="11" fillId="0" borderId="31" xfId="0" applyFont="1" applyBorder="1" applyAlignment="1" applyProtection="1">
      <alignment vertical="center"/>
    </xf>
    <xf numFmtId="0" fontId="10" fillId="3" borderId="3" xfId="0" applyFont="1" applyFill="1" applyBorder="1" applyAlignment="1" applyProtection="1">
      <alignment horizontal="right" vertical="center"/>
    </xf>
    <xf numFmtId="191" fontId="2" fillId="4" borderId="1" xfId="0" applyNumberFormat="1" applyFont="1" applyFill="1" applyBorder="1" applyAlignment="1" applyProtection="1">
      <alignment vertical="center"/>
    </xf>
    <xf numFmtId="0" fontId="11" fillId="4" borderId="0" xfId="0" applyFont="1" applyFill="1" applyAlignment="1" applyProtection="1">
      <alignment vertical="center"/>
    </xf>
    <xf numFmtId="0" fontId="2" fillId="4" borderId="3" xfId="0" applyFont="1" applyFill="1" applyBorder="1" applyAlignment="1" applyProtection="1">
      <alignment horizontal="right" vertical="center"/>
    </xf>
    <xf numFmtId="191" fontId="2" fillId="4" borderId="19" xfId="0" applyNumberFormat="1" applyFont="1" applyFill="1" applyBorder="1" applyAlignment="1" applyProtection="1">
      <alignment vertical="center"/>
    </xf>
    <xf numFmtId="0" fontId="3" fillId="2" borderId="25" xfId="0" applyFont="1" applyFill="1" applyBorder="1" applyAlignment="1" applyProtection="1">
      <alignment horizontal="right" vertical="center"/>
    </xf>
    <xf numFmtId="0" fontId="3" fillId="2" borderId="22" xfId="0" applyFont="1" applyFill="1" applyBorder="1" applyAlignment="1" applyProtection="1">
      <alignment horizontal="right" vertical="center"/>
    </xf>
    <xf numFmtId="0" fontId="21" fillId="0" borderId="0" xfId="0" applyFont="1" applyProtection="1"/>
    <xf numFmtId="0" fontId="1" fillId="2" borderId="0" xfId="0" applyFont="1" applyFill="1" applyAlignment="1" applyProtection="1">
      <alignment horizontal="left" vertical="center"/>
    </xf>
    <xf numFmtId="188" fontId="1" fillId="2" borderId="0" xfId="0" applyNumberFormat="1" applyFont="1" applyFill="1" applyBorder="1" applyAlignment="1" applyProtection="1">
      <alignment horizontal="left" vertical="center"/>
    </xf>
    <xf numFmtId="0" fontId="1" fillId="0" borderId="0" xfId="0" applyFont="1" applyFill="1" applyAlignment="1" applyProtection="1">
      <alignment horizontal="left" vertical="center"/>
    </xf>
    <xf numFmtId="188" fontId="1" fillId="0" borderId="0" xfId="0" applyNumberFormat="1" applyFont="1" applyFill="1" applyBorder="1" applyAlignment="1" applyProtection="1">
      <alignment horizontal="left" vertical="center"/>
    </xf>
    <xf numFmtId="214" fontId="1" fillId="0" borderId="0" xfId="0" applyNumberFormat="1" applyFont="1"/>
    <xf numFmtId="0" fontId="22" fillId="2" borderId="0" xfId="0" applyFont="1" applyFill="1" applyProtection="1"/>
    <xf numFmtId="0" fontId="0" fillId="4" borderId="0" xfId="0" applyFill="1"/>
    <xf numFmtId="180" fontId="2" fillId="4" borderId="14" xfId="0" applyNumberFormat="1" applyFont="1" applyFill="1" applyBorder="1" applyProtection="1"/>
    <xf numFmtId="178" fontId="2" fillId="4" borderId="14" xfId="0" applyNumberFormat="1" applyFont="1" applyFill="1" applyBorder="1" applyProtection="1"/>
    <xf numFmtId="192" fontId="2" fillId="0" borderId="0" xfId="0" applyNumberFormat="1" applyFont="1" applyFill="1" applyBorder="1" applyProtection="1"/>
    <xf numFmtId="0" fontId="1" fillId="0" borderId="0" xfId="0" quotePrefix="1" applyFont="1" applyAlignment="1">
      <alignment horizontal="left"/>
    </xf>
    <xf numFmtId="0" fontId="2" fillId="0" borderId="0" xfId="0" quotePrefix="1" applyFont="1" applyAlignment="1">
      <alignment horizontal="left"/>
    </xf>
    <xf numFmtId="0" fontId="2" fillId="2" borderId="7" xfId="0" applyFont="1" applyFill="1" applyBorder="1" applyAlignment="1" applyProtection="1">
      <alignment horizontal="left"/>
    </xf>
    <xf numFmtId="0" fontId="2" fillId="2" borderId="49" xfId="0" applyFont="1" applyFill="1" applyBorder="1" applyAlignment="1" applyProtection="1">
      <alignment horizontal="left"/>
    </xf>
    <xf numFmtId="0" fontId="2" fillId="2" borderId="1" xfId="0" applyFont="1" applyFill="1" applyBorder="1" applyAlignment="1" applyProtection="1">
      <alignment horizontal="left"/>
    </xf>
    <xf numFmtId="0" fontId="2" fillId="2" borderId="3" xfId="0" applyFont="1" applyFill="1" applyBorder="1" applyAlignment="1" applyProtection="1">
      <alignment horizontal="left"/>
    </xf>
    <xf numFmtId="0" fontId="2" fillId="0" borderId="0" xfId="0" applyFont="1" applyAlignment="1" applyProtection="1">
      <alignment vertical="center"/>
    </xf>
    <xf numFmtId="0" fontId="10" fillId="6" borderId="46" xfId="0" applyFont="1" applyFill="1" applyBorder="1" applyAlignment="1" applyProtection="1">
      <alignment horizontal="center" vertical="center" wrapText="1"/>
    </xf>
    <xf numFmtId="0" fontId="23" fillId="0" borderId="0" xfId="0" applyFont="1" applyAlignment="1" applyProtection="1">
      <alignment vertical="center"/>
    </xf>
    <xf numFmtId="0" fontId="10" fillId="0" borderId="0" xfId="0" applyFont="1" applyFill="1" applyBorder="1" applyAlignment="1" applyProtection="1">
      <alignment horizontal="right" vertical="center"/>
    </xf>
    <xf numFmtId="0" fontId="10" fillId="0" borderId="0" xfId="0" applyFont="1" applyFill="1" applyBorder="1" applyAlignment="1" applyProtection="1">
      <alignment vertical="center"/>
    </xf>
    <xf numFmtId="188" fontId="10" fillId="0" borderId="0" xfId="0" applyNumberFormat="1" applyFont="1" applyFill="1" applyBorder="1" applyAlignment="1" applyProtection="1">
      <alignment vertical="center"/>
    </xf>
    <xf numFmtId="181" fontId="2" fillId="0" borderId="0" xfId="0" applyNumberFormat="1" applyFont="1" applyFill="1" applyBorder="1" applyAlignment="1" applyProtection="1">
      <alignment vertical="center"/>
    </xf>
    <xf numFmtId="1" fontId="2" fillId="0" borderId="0" xfId="0" applyNumberFormat="1" applyFont="1" applyFill="1" applyBorder="1" applyAlignment="1" applyProtection="1">
      <alignment horizontal="right" vertical="center"/>
    </xf>
    <xf numFmtId="178" fontId="2" fillId="0" borderId="0" xfId="0" applyNumberFormat="1" applyFont="1" applyFill="1" applyBorder="1" applyAlignment="1" applyProtection="1">
      <alignment horizontal="righ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24" fillId="0" borderId="0" xfId="0" applyFont="1" applyFill="1" applyBorder="1" applyAlignment="1" applyProtection="1">
      <alignment vertical="center"/>
    </xf>
    <xf numFmtId="188" fontId="24" fillId="0" borderId="0" xfId="0" applyNumberFormat="1" applyFont="1" applyFill="1" applyBorder="1" applyAlignment="1" applyProtection="1">
      <alignment vertical="center"/>
    </xf>
    <xf numFmtId="181" fontId="10" fillId="0" borderId="0" xfId="0" applyNumberFormat="1" applyFont="1" applyFill="1" applyBorder="1" applyAlignment="1" applyProtection="1">
      <alignment vertical="center"/>
    </xf>
    <xf numFmtId="0" fontId="24" fillId="0" borderId="0" xfId="0" applyFont="1" applyFill="1" applyAlignment="1" applyProtection="1">
      <alignment horizontal="center" vertical="center"/>
    </xf>
    <xf numFmtId="0" fontId="23" fillId="0" borderId="0" xfId="0" applyFont="1" applyFill="1" applyAlignment="1" applyProtection="1">
      <alignment vertical="center"/>
    </xf>
    <xf numFmtId="0" fontId="14" fillId="6" borderId="20" xfId="0" applyFont="1" applyFill="1" applyBorder="1" applyAlignment="1" applyProtection="1">
      <alignment vertical="center"/>
    </xf>
    <xf numFmtId="0" fontId="14" fillId="6" borderId="42" xfId="0" applyFont="1" applyFill="1" applyBorder="1" applyAlignment="1" applyProtection="1">
      <alignment vertical="center"/>
    </xf>
    <xf numFmtId="0" fontId="2" fillId="4" borderId="27" xfId="0" applyFont="1" applyFill="1" applyBorder="1" applyAlignment="1" applyProtection="1">
      <alignment horizontal="center" vertical="center"/>
    </xf>
    <xf numFmtId="0" fontId="1" fillId="0" borderId="0" xfId="0" applyFont="1" applyFill="1" applyBorder="1" applyAlignment="1" applyProtection="1">
      <alignment horizontal="right" vertical="center"/>
    </xf>
    <xf numFmtId="0" fontId="10" fillId="6" borderId="48" xfId="0" applyFont="1" applyFill="1" applyBorder="1" applyAlignment="1" applyProtection="1">
      <alignment horizontal="right" vertical="center"/>
    </xf>
    <xf numFmtId="0" fontId="24" fillId="5" borderId="32" xfId="0" applyFont="1" applyFill="1" applyBorder="1" applyAlignment="1" applyProtection="1">
      <alignment horizontal="right" vertical="center"/>
      <protection locked="0"/>
    </xf>
    <xf numFmtId="216" fontId="24" fillId="5" borderId="50" xfId="0" applyNumberFormat="1" applyFont="1" applyFill="1" applyBorder="1" applyAlignment="1" applyProtection="1">
      <alignment vertical="center"/>
      <protection locked="0"/>
    </xf>
    <xf numFmtId="1" fontId="24" fillId="5" borderId="51" xfId="0" applyNumberFormat="1" applyFont="1" applyFill="1" applyBorder="1" applyAlignment="1" applyProtection="1">
      <alignment vertical="center"/>
      <protection locked="0"/>
    </xf>
    <xf numFmtId="188" fontId="24" fillId="5" borderId="13" xfId="0" applyNumberFormat="1" applyFont="1" applyFill="1" applyBorder="1" applyAlignment="1" applyProtection="1">
      <alignment vertical="center"/>
      <protection locked="0"/>
    </xf>
    <xf numFmtId="181" fontId="2" fillId="4" borderId="38" xfId="0" applyNumberFormat="1" applyFont="1" applyFill="1" applyBorder="1" applyAlignment="1" applyProtection="1">
      <alignment vertical="center"/>
    </xf>
    <xf numFmtId="178" fontId="2" fillId="4" borderId="13" xfId="0" applyNumberFormat="1" applyFont="1" applyFill="1" applyBorder="1" applyAlignment="1" applyProtection="1">
      <alignment horizontal="right" vertical="center"/>
    </xf>
    <xf numFmtId="0" fontId="10" fillId="6" borderId="3" xfId="0" applyFont="1" applyFill="1" applyBorder="1" applyAlignment="1" applyProtection="1">
      <alignment horizontal="right" vertical="center"/>
    </xf>
    <xf numFmtId="0" fontId="24" fillId="5" borderId="22" xfId="0" applyFont="1" applyFill="1" applyBorder="1" applyAlignment="1" applyProtection="1">
      <alignment horizontal="right" vertical="center"/>
      <protection locked="0"/>
    </xf>
    <xf numFmtId="0" fontId="24" fillId="5" borderId="44" xfId="0" applyFont="1" applyFill="1" applyBorder="1" applyAlignment="1" applyProtection="1">
      <alignment vertical="center"/>
      <protection locked="0"/>
    </xf>
    <xf numFmtId="1" fontId="24" fillId="5" borderId="23" xfId="0" applyNumberFormat="1" applyFont="1" applyFill="1" applyBorder="1" applyAlignment="1" applyProtection="1">
      <alignment vertical="center"/>
      <protection locked="0"/>
    </xf>
    <xf numFmtId="188" fontId="24" fillId="5" borderId="4" xfId="0" applyNumberFormat="1" applyFont="1" applyFill="1" applyBorder="1" applyAlignment="1" applyProtection="1">
      <alignment vertical="center"/>
      <protection locked="0"/>
    </xf>
    <xf numFmtId="181" fontId="2" fillId="4" borderId="39" xfId="0" applyNumberFormat="1" applyFont="1" applyFill="1" applyBorder="1" applyAlignment="1" applyProtection="1">
      <alignment vertical="center"/>
    </xf>
    <xf numFmtId="178" fontId="2" fillId="4" borderId="4" xfId="0" applyNumberFormat="1" applyFont="1" applyFill="1" applyBorder="1" applyAlignment="1" applyProtection="1">
      <alignment horizontal="right" vertical="center"/>
    </xf>
    <xf numFmtId="0" fontId="1" fillId="0" borderId="0" xfId="0" applyFont="1" applyFill="1" applyAlignment="1" applyProtection="1">
      <alignment vertical="center"/>
    </xf>
    <xf numFmtId="0" fontId="23" fillId="4" borderId="20" xfId="0" applyFont="1" applyFill="1" applyBorder="1" applyAlignment="1" applyProtection="1">
      <alignment vertical="center"/>
    </xf>
    <xf numFmtId="0" fontId="23" fillId="4" borderId="42" xfId="0" applyFont="1" applyFill="1" applyBorder="1" applyAlignment="1" applyProtection="1">
      <alignment vertical="center"/>
    </xf>
    <xf numFmtId="0" fontId="10" fillId="6" borderId="46" xfId="0" applyFont="1" applyFill="1" applyBorder="1" applyAlignment="1" applyProtection="1">
      <alignment horizontal="center" vertical="center"/>
    </xf>
    <xf numFmtId="0" fontId="24" fillId="4" borderId="48" xfId="0" applyFont="1" applyFill="1" applyBorder="1" applyAlignment="1" applyProtection="1">
      <alignment horizontal="right" vertical="center"/>
    </xf>
    <xf numFmtId="0" fontId="24" fillId="4" borderId="32" xfId="0" applyFont="1" applyFill="1" applyBorder="1" applyAlignment="1" applyProtection="1">
      <alignment horizontal="right" vertical="center"/>
    </xf>
    <xf numFmtId="0" fontId="24" fillId="4" borderId="50" xfId="0" applyFont="1" applyFill="1" applyBorder="1" applyAlignment="1" applyProtection="1">
      <alignment vertical="center"/>
    </xf>
    <xf numFmtId="0" fontId="24" fillId="4" borderId="51" xfId="0" applyFont="1" applyFill="1" applyBorder="1" applyAlignment="1" applyProtection="1">
      <alignment vertical="center"/>
    </xf>
    <xf numFmtId="188" fontId="24" fillId="4" borderId="13" xfId="0" applyNumberFormat="1" applyFont="1" applyFill="1" applyBorder="1" applyAlignment="1" applyProtection="1">
      <alignment vertical="center"/>
    </xf>
    <xf numFmtId="181" fontId="24" fillId="5" borderId="35" xfId="0" applyNumberFormat="1" applyFont="1" applyFill="1" applyBorder="1" applyAlignment="1" applyProtection="1">
      <alignment vertical="center"/>
      <protection locked="0"/>
    </xf>
    <xf numFmtId="0" fontId="24" fillId="4" borderId="3" xfId="0" applyFont="1" applyFill="1" applyBorder="1" applyAlignment="1" applyProtection="1">
      <alignment horizontal="right" vertical="center"/>
    </xf>
    <xf numFmtId="0" fontId="24" fillId="4" borderId="22" xfId="0" applyFont="1" applyFill="1" applyBorder="1" applyAlignment="1" applyProtection="1">
      <alignment horizontal="right" vertical="center"/>
    </xf>
    <xf numFmtId="0" fontId="24" fillId="4" borderId="44" xfId="0" applyFont="1" applyFill="1" applyBorder="1" applyAlignment="1" applyProtection="1">
      <alignment vertical="center"/>
    </xf>
    <xf numFmtId="0" fontId="24" fillId="4" borderId="23" xfId="0" applyFont="1" applyFill="1" applyBorder="1" applyAlignment="1" applyProtection="1">
      <alignment vertical="center"/>
    </xf>
    <xf numFmtId="188" fontId="24" fillId="4" borderId="4" xfId="0" applyNumberFormat="1" applyFont="1" applyFill="1" applyBorder="1" applyAlignment="1" applyProtection="1">
      <alignment vertical="center"/>
    </xf>
    <xf numFmtId="181" fontId="24" fillId="5" borderId="19" xfId="0" applyNumberFormat="1" applyFont="1" applyFill="1" applyBorder="1" applyAlignment="1" applyProtection="1">
      <alignment vertical="center"/>
      <protection locked="0"/>
    </xf>
    <xf numFmtId="0" fontId="24" fillId="4" borderId="20" xfId="0" applyFont="1" applyFill="1" applyBorder="1" applyAlignment="1" applyProtection="1">
      <alignment vertical="center"/>
    </xf>
    <xf numFmtId="0" fontId="24" fillId="4" borderId="42" xfId="0" applyFont="1" applyFill="1" applyBorder="1" applyAlignment="1" applyProtection="1">
      <alignment vertical="center"/>
    </xf>
    <xf numFmtId="0" fontId="2" fillId="4" borderId="46" xfId="0" applyFont="1" applyFill="1" applyBorder="1" applyAlignment="1" applyProtection="1">
      <alignment horizontal="center" vertical="center"/>
    </xf>
    <xf numFmtId="181" fontId="2" fillId="4" borderId="35" xfId="0" applyNumberFormat="1" applyFont="1" applyFill="1" applyBorder="1" applyAlignment="1" applyProtection="1">
      <alignment vertical="center"/>
    </xf>
    <xf numFmtId="178" fontId="24" fillId="5" borderId="13" xfId="0" applyNumberFormat="1" applyFont="1" applyFill="1" applyBorder="1" applyAlignment="1" applyProtection="1">
      <alignment horizontal="right" vertical="center"/>
      <protection locked="0"/>
    </xf>
    <xf numFmtId="178" fontId="24" fillId="5" borderId="4" xfId="0" applyNumberFormat="1" applyFont="1" applyFill="1" applyBorder="1" applyAlignment="1" applyProtection="1">
      <alignment horizontal="right" vertical="center"/>
      <protection locked="0"/>
    </xf>
    <xf numFmtId="190" fontId="1" fillId="4" borderId="0" xfId="0" applyNumberFormat="1" applyFont="1" applyFill="1"/>
    <xf numFmtId="0" fontId="1" fillId="4" borderId="0" xfId="0" applyFont="1" applyFill="1"/>
    <xf numFmtId="190" fontId="2" fillId="4" borderId="14" xfId="0" applyNumberFormat="1" applyFont="1" applyFill="1" applyBorder="1"/>
    <xf numFmtId="191" fontId="1" fillId="5" borderId="30" xfId="0" applyNumberFormat="1" applyFont="1" applyFill="1" applyBorder="1" applyAlignment="1" applyProtection="1">
      <alignment vertical="center"/>
      <protection locked="0"/>
    </xf>
    <xf numFmtId="191" fontId="1" fillId="5" borderId="4" xfId="0" applyNumberFormat="1" applyFont="1" applyFill="1" applyBorder="1" applyAlignment="1" applyProtection="1">
      <alignment vertical="center"/>
      <protection locked="0"/>
    </xf>
    <xf numFmtId="186" fontId="1" fillId="5" borderId="30" xfId="0" applyNumberFormat="1" applyFont="1" applyFill="1" applyBorder="1" applyAlignment="1" applyProtection="1">
      <alignment vertical="center"/>
      <protection locked="0"/>
    </xf>
    <xf numFmtId="186" fontId="1" fillId="5" borderId="4" xfId="0" applyNumberFormat="1" applyFont="1" applyFill="1" applyBorder="1" applyAlignment="1" applyProtection="1">
      <alignment vertical="center"/>
      <protection locked="0"/>
    </xf>
    <xf numFmtId="0" fontId="1" fillId="5" borderId="30" xfId="0" applyFont="1" applyFill="1" applyBorder="1" applyAlignment="1" applyProtection="1">
      <alignment vertical="center"/>
      <protection locked="0"/>
    </xf>
    <xf numFmtId="187" fontId="1" fillId="5" borderId="30" xfId="0" applyNumberFormat="1" applyFont="1" applyFill="1" applyBorder="1" applyAlignment="1" applyProtection="1">
      <alignment vertical="center"/>
      <protection locked="0"/>
    </xf>
    <xf numFmtId="187" fontId="1" fillId="5" borderId="4" xfId="0" applyNumberFormat="1" applyFont="1" applyFill="1" applyBorder="1" applyAlignment="1" applyProtection="1">
      <alignment vertical="center"/>
      <protection locked="0"/>
    </xf>
    <xf numFmtId="0" fontId="24" fillId="7" borderId="7" xfId="0" applyFont="1" applyFill="1" applyBorder="1" applyAlignment="1" applyProtection="1">
      <alignment horizontal="right" vertical="center"/>
      <protection locked="0"/>
    </xf>
    <xf numFmtId="0" fontId="24" fillId="7" borderId="8" xfId="0" applyFont="1" applyFill="1" applyBorder="1" applyAlignment="1" applyProtection="1">
      <alignment horizontal="right" vertical="center"/>
      <protection locked="0"/>
    </xf>
    <xf numFmtId="188" fontId="24" fillId="7" borderId="9" xfId="0" applyNumberFormat="1" applyFont="1" applyFill="1" applyBorder="1" applyAlignment="1" applyProtection="1">
      <alignment horizontal="right" vertical="center"/>
      <protection locked="0"/>
    </xf>
    <xf numFmtId="0" fontId="24" fillId="7" borderId="37" xfId="0" applyFont="1" applyFill="1" applyBorder="1" applyAlignment="1" applyProtection="1">
      <alignment horizontal="right" vertical="center"/>
      <protection locked="0"/>
    </xf>
    <xf numFmtId="0" fontId="24" fillId="7" borderId="11" xfId="0" applyFont="1" applyFill="1" applyBorder="1" applyAlignment="1" applyProtection="1">
      <alignment horizontal="right" vertical="center"/>
      <protection locked="0"/>
    </xf>
    <xf numFmtId="188" fontId="24" fillId="7" borderId="12" xfId="0" applyNumberFormat="1" applyFont="1" applyFill="1" applyBorder="1" applyAlignment="1" applyProtection="1">
      <alignment horizontal="right" vertical="center"/>
      <protection locked="0"/>
    </xf>
    <xf numFmtId="191" fontId="24" fillId="5" borderId="19" xfId="0" applyNumberFormat="1" applyFont="1" applyFill="1" applyBorder="1" applyAlignment="1" applyProtection="1">
      <alignment vertical="center"/>
      <protection locked="0"/>
    </xf>
    <xf numFmtId="0" fontId="1" fillId="4" borderId="7" xfId="0" applyFont="1" applyFill="1" applyBorder="1" applyAlignment="1" applyProtection="1">
      <alignment horizontal="right" vertical="center"/>
    </xf>
    <xf numFmtId="0" fontId="1" fillId="4" borderId="8" xfId="0" applyFont="1" applyFill="1" applyBorder="1" applyAlignment="1" applyProtection="1">
      <alignment horizontal="right" vertical="center"/>
    </xf>
    <xf numFmtId="188" fontId="1" fillId="4" borderId="9" xfId="0" applyNumberFormat="1" applyFont="1" applyFill="1" applyBorder="1" applyAlignment="1" applyProtection="1">
      <alignment horizontal="right" vertical="center"/>
    </xf>
    <xf numFmtId="0" fontId="1" fillId="4" borderId="37" xfId="0" applyFont="1" applyFill="1" applyBorder="1" applyAlignment="1" applyProtection="1">
      <alignment horizontal="right" vertical="center"/>
    </xf>
    <xf numFmtId="0" fontId="1" fillId="4" borderId="11" xfId="0" applyFont="1" applyFill="1" applyBorder="1" applyAlignment="1" applyProtection="1">
      <alignment horizontal="right" vertical="center"/>
    </xf>
    <xf numFmtId="188" fontId="1" fillId="4" borderId="12" xfId="0" applyNumberFormat="1" applyFont="1" applyFill="1" applyBorder="1" applyAlignment="1" applyProtection="1">
      <alignment horizontal="right" vertical="center"/>
    </xf>
    <xf numFmtId="191" fontId="1" fillId="3" borderId="0" xfId="0" applyNumberFormat="1" applyFont="1" applyFill="1" applyBorder="1"/>
    <xf numFmtId="186" fontId="1" fillId="3" borderId="0" xfId="0" applyNumberFormat="1" applyFont="1" applyFill="1" applyBorder="1"/>
    <xf numFmtId="186" fontId="1" fillId="3" borderId="31" xfId="0" applyNumberFormat="1" applyFont="1" applyFill="1" applyBorder="1"/>
    <xf numFmtId="0" fontId="1" fillId="4" borderId="7" xfId="0" applyFont="1" applyFill="1" applyBorder="1" applyAlignment="1" applyProtection="1">
      <alignment horizontal="right"/>
    </xf>
    <xf numFmtId="0" fontId="1" fillId="4" borderId="8" xfId="0" applyFont="1" applyFill="1" applyBorder="1" applyAlignment="1" applyProtection="1">
      <alignment horizontal="right"/>
    </xf>
    <xf numFmtId="188" fontId="1" fillId="4" borderId="43" xfId="0" applyNumberFormat="1" applyFont="1" applyFill="1" applyBorder="1" applyAlignment="1" applyProtection="1">
      <alignment horizontal="right"/>
    </xf>
    <xf numFmtId="0" fontId="1" fillId="4" borderId="37" xfId="0" applyFont="1" applyFill="1" applyBorder="1" applyAlignment="1" applyProtection="1">
      <alignment horizontal="right"/>
    </xf>
    <xf numFmtId="0" fontId="1" fillId="4" borderId="11" xfId="0" applyFont="1" applyFill="1" applyBorder="1" applyAlignment="1" applyProtection="1">
      <alignment horizontal="right"/>
    </xf>
    <xf numFmtId="188" fontId="1" fillId="4" borderId="52" xfId="0" applyNumberFormat="1" applyFont="1" applyFill="1" applyBorder="1" applyAlignment="1" applyProtection="1">
      <alignment horizontal="right"/>
    </xf>
    <xf numFmtId="0" fontId="1" fillId="4" borderId="20" xfId="0" applyFont="1" applyFill="1" applyBorder="1" applyAlignment="1" applyProtection="1">
      <alignment horizontal="right"/>
    </xf>
    <xf numFmtId="1" fontId="1" fillId="4" borderId="8" xfId="0" applyNumberFormat="1" applyFont="1" applyFill="1" applyBorder="1" applyAlignment="1" applyProtection="1">
      <alignment horizontal="right"/>
    </xf>
    <xf numFmtId="1" fontId="1" fillId="4" borderId="21" xfId="0" applyNumberFormat="1" applyFont="1" applyFill="1" applyBorder="1" applyAlignment="1" applyProtection="1">
      <alignment horizontal="right"/>
    </xf>
    <xf numFmtId="188" fontId="1" fillId="4" borderId="2" xfId="0" applyNumberFormat="1" applyFont="1" applyFill="1" applyBorder="1" applyAlignment="1" applyProtection="1">
      <alignment horizontal="right"/>
    </xf>
    <xf numFmtId="0" fontId="1" fillId="4" borderId="22" xfId="0" applyFont="1" applyFill="1" applyBorder="1" applyAlignment="1" applyProtection="1">
      <alignment horizontal="right"/>
    </xf>
    <xf numFmtId="0" fontId="1" fillId="4" borderId="23" xfId="0" applyFont="1" applyFill="1" applyBorder="1" applyAlignment="1" applyProtection="1">
      <alignment horizontal="right"/>
    </xf>
    <xf numFmtId="0" fontId="1" fillId="4" borderId="24" xfId="0" applyFont="1" applyFill="1" applyBorder="1" applyAlignment="1" applyProtection="1">
      <alignment horizontal="right"/>
    </xf>
    <xf numFmtId="188" fontId="1" fillId="4" borderId="4" xfId="0" applyNumberFormat="1" applyFont="1" applyFill="1" applyBorder="1" applyAlignment="1" applyProtection="1">
      <alignment horizontal="right"/>
    </xf>
    <xf numFmtId="180" fontId="2" fillId="4" borderId="1" xfId="0" applyNumberFormat="1" applyFont="1" applyFill="1" applyBorder="1" applyProtection="1"/>
    <xf numFmtId="180" fontId="2" fillId="4" borderId="19" xfId="0" applyNumberFormat="1" applyFont="1" applyFill="1" applyBorder="1" applyProtection="1"/>
    <xf numFmtId="181" fontId="2" fillId="4" borderId="19" xfId="0" applyNumberFormat="1" applyFont="1" applyFill="1" applyBorder="1" applyProtection="1"/>
    <xf numFmtId="1" fontId="1" fillId="4" borderId="16" xfId="0" applyNumberFormat="1" applyFont="1" applyFill="1" applyBorder="1" applyAlignment="1" applyProtection="1">
      <alignment horizontal="right"/>
    </xf>
    <xf numFmtId="0" fontId="1" fillId="4" borderId="17" xfId="0" applyFont="1" applyFill="1" applyBorder="1" applyAlignment="1" applyProtection="1">
      <alignment horizontal="right"/>
    </xf>
    <xf numFmtId="188" fontId="1" fillId="4" borderId="40" xfId="0" applyNumberFormat="1" applyFont="1" applyFill="1" applyBorder="1" applyAlignment="1" applyProtection="1">
      <alignment horizontal="right"/>
    </xf>
    <xf numFmtId="0" fontId="2" fillId="4" borderId="33" xfId="0" applyFont="1" applyFill="1" applyBorder="1" applyAlignment="1" applyProtection="1">
      <alignment horizontal="right"/>
    </xf>
    <xf numFmtId="0" fontId="13" fillId="4" borderId="53" xfId="0" applyFont="1" applyFill="1" applyBorder="1" applyAlignment="1" applyProtection="1">
      <alignment horizontal="right"/>
    </xf>
    <xf numFmtId="188" fontId="1" fillId="4" borderId="53" xfId="0" applyNumberFormat="1" applyFont="1" applyFill="1" applyBorder="1" applyAlignment="1" applyProtection="1">
      <alignment horizontal="right"/>
    </xf>
    <xf numFmtId="0" fontId="1" fillId="4" borderId="54" xfId="0" applyFont="1" applyFill="1" applyBorder="1" applyAlignment="1" applyProtection="1">
      <alignment horizontal="right"/>
    </xf>
    <xf numFmtId="0" fontId="1" fillId="4" borderId="5" xfId="0" applyFont="1" applyFill="1" applyBorder="1" applyAlignment="1" applyProtection="1">
      <alignment horizontal="right"/>
    </xf>
    <xf numFmtId="188" fontId="1" fillId="4" borderId="54" xfId="0" applyNumberFormat="1" applyFont="1" applyFill="1" applyBorder="1" applyAlignment="1" applyProtection="1">
      <alignment horizontal="right"/>
    </xf>
    <xf numFmtId="0" fontId="2" fillId="6" borderId="34" xfId="0" applyFont="1" applyFill="1" applyBorder="1" applyAlignment="1" applyProtection="1">
      <alignment horizontal="center" vertical="center"/>
    </xf>
    <xf numFmtId="1" fontId="2" fillId="4" borderId="5" xfId="0" applyNumberFormat="1" applyFont="1" applyFill="1" applyBorder="1" applyAlignment="1" applyProtection="1">
      <alignment horizontal="right" vertical="center"/>
    </xf>
    <xf numFmtId="1" fontId="2" fillId="4" borderId="11" xfId="0" applyNumberFormat="1" applyFont="1" applyFill="1" applyBorder="1" applyAlignment="1" applyProtection="1">
      <alignment horizontal="right" vertical="center"/>
    </xf>
    <xf numFmtId="1" fontId="24" fillId="5" borderId="5" xfId="0" applyNumberFormat="1" applyFont="1" applyFill="1" applyBorder="1" applyAlignment="1" applyProtection="1">
      <alignment horizontal="right" vertical="center"/>
      <protection locked="0"/>
    </xf>
    <xf numFmtId="1" fontId="24" fillId="5" borderId="11" xfId="0" applyNumberFormat="1" applyFont="1" applyFill="1" applyBorder="1" applyAlignment="1" applyProtection="1">
      <alignment horizontal="right" vertical="center"/>
      <protection locked="0"/>
    </xf>
    <xf numFmtId="181" fontId="2" fillId="4" borderId="38" xfId="0" applyNumberFormat="1" applyFont="1" applyFill="1" applyBorder="1" applyAlignment="1" applyProtection="1">
      <alignment horizontal="right" vertical="center"/>
    </xf>
    <xf numFmtId="181" fontId="2" fillId="4" borderId="39" xfId="0" applyNumberFormat="1" applyFont="1" applyFill="1" applyBorder="1" applyAlignment="1" applyProtection="1">
      <alignment horizontal="right" vertical="center"/>
    </xf>
    <xf numFmtId="181" fontId="24" fillId="4" borderId="38" xfId="0" applyNumberFormat="1" applyFont="1" applyFill="1" applyBorder="1" applyAlignment="1" applyProtection="1">
      <alignment horizontal="right" vertical="center"/>
      <protection locked="0"/>
    </xf>
    <xf numFmtId="181" fontId="24" fillId="4" borderId="39" xfId="0" applyNumberFormat="1" applyFont="1" applyFill="1" applyBorder="1" applyAlignment="1" applyProtection="1">
      <alignment horizontal="right" vertical="center"/>
      <protection locked="0"/>
    </xf>
    <xf numFmtId="181" fontId="24" fillId="4" borderId="22" xfId="0" applyNumberFormat="1" applyFont="1" applyFill="1" applyBorder="1" applyAlignment="1" applyProtection="1">
      <alignment horizontal="right" vertical="center"/>
    </xf>
    <xf numFmtId="181" fontId="24" fillId="4" borderId="32" xfId="0" applyNumberFormat="1" applyFont="1" applyFill="1" applyBorder="1" applyAlignment="1" applyProtection="1">
      <alignment horizontal="right" vertical="center"/>
    </xf>
    <xf numFmtId="0" fontId="24" fillId="4" borderId="42" xfId="0" applyFont="1" applyFill="1" applyBorder="1" applyAlignment="1" applyProtection="1">
      <alignment horizontal="right" vertical="center"/>
    </xf>
    <xf numFmtId="0" fontId="24" fillId="4" borderId="2" xfId="0" applyFont="1" applyFill="1" applyBorder="1" applyAlignment="1" applyProtection="1">
      <alignment horizontal="right" vertical="center"/>
    </xf>
    <xf numFmtId="0" fontId="10" fillId="6" borderId="42"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181" fontId="2" fillId="5" borderId="38" xfId="0" applyNumberFormat="1" applyFont="1" applyFill="1" applyBorder="1" applyAlignment="1" applyProtection="1">
      <alignment horizontal="right" vertical="center"/>
      <protection locked="0"/>
    </xf>
    <xf numFmtId="181" fontId="2" fillId="5" borderId="39" xfId="0" applyNumberFormat="1" applyFont="1" applyFill="1" applyBorder="1" applyAlignment="1" applyProtection="1">
      <alignment horizontal="right" vertical="center"/>
      <protection locked="0"/>
    </xf>
    <xf numFmtId="0" fontId="11" fillId="0" borderId="0" xfId="0" applyFont="1" applyAlignment="1" applyProtection="1">
      <alignment horizontal="left" vertical="center"/>
    </xf>
    <xf numFmtId="191" fontId="24" fillId="7" borderId="1" xfId="0" applyNumberFormat="1" applyFont="1" applyFill="1" applyBorder="1" applyAlignment="1" applyProtection="1">
      <alignment horizontal="right" vertical="center"/>
      <protection locked="0"/>
    </xf>
    <xf numFmtId="191" fontId="24" fillId="7" borderId="19" xfId="0" applyNumberFormat="1" applyFont="1" applyFill="1" applyBorder="1" applyAlignment="1" applyProtection="1">
      <alignment horizontal="right" vertical="center"/>
      <protection locked="0"/>
    </xf>
    <xf numFmtId="0" fontId="2" fillId="0" borderId="0" xfId="0" applyFont="1" applyFill="1" applyBorder="1" applyAlignment="1" applyProtection="1">
      <alignment horizontal="right" vertical="center"/>
    </xf>
    <xf numFmtId="191" fontId="2" fillId="0" borderId="0" xfId="0" applyNumberFormat="1" applyFont="1" applyFill="1" applyBorder="1" applyAlignment="1" applyProtection="1">
      <alignment horizontal="right" vertical="center"/>
    </xf>
    <xf numFmtId="0" fontId="1" fillId="0" borderId="0" xfId="0" applyFont="1" applyFill="1" applyBorder="1" applyAlignment="1" applyProtection="1">
      <alignment horizontal="left" vertical="center"/>
    </xf>
    <xf numFmtId="188" fontId="10" fillId="0" borderId="0" xfId="0" applyNumberFormat="1" applyFont="1" applyFill="1" applyBorder="1" applyAlignment="1" applyProtection="1">
      <alignment horizontal="right" vertical="center"/>
    </xf>
    <xf numFmtId="0" fontId="1" fillId="0" borderId="0" xfId="0" applyFont="1" applyBorder="1" applyAlignment="1" applyProtection="1">
      <alignment vertical="center"/>
    </xf>
    <xf numFmtId="0" fontId="11" fillId="0" borderId="0" xfId="0" applyFont="1" applyFill="1" applyProtection="1"/>
    <xf numFmtId="180" fontId="10" fillId="3" borderId="1" xfId="0" applyNumberFormat="1" applyFont="1" applyFill="1" applyBorder="1" applyAlignment="1" applyProtection="1">
      <alignment horizontal="right" vertical="center"/>
    </xf>
    <xf numFmtId="180" fontId="10" fillId="3" borderId="3" xfId="0" applyNumberFormat="1" applyFont="1" applyFill="1" applyBorder="1" applyAlignment="1" applyProtection="1">
      <alignment horizontal="right" vertical="center"/>
    </xf>
    <xf numFmtId="191" fontId="10" fillId="3" borderId="1" xfId="0" applyNumberFormat="1" applyFont="1" applyFill="1" applyBorder="1" applyAlignment="1" applyProtection="1">
      <alignment horizontal="right" vertical="center"/>
    </xf>
    <xf numFmtId="191" fontId="10" fillId="3" borderId="35" xfId="0" applyNumberFormat="1" applyFont="1" applyFill="1" applyBorder="1" applyAlignment="1" applyProtection="1">
      <alignment horizontal="right" vertical="center"/>
    </xf>
    <xf numFmtId="191" fontId="10" fillId="3" borderId="45" xfId="0" applyNumberFormat="1" applyFont="1" applyFill="1" applyBorder="1" applyAlignment="1" applyProtection="1">
      <alignment horizontal="right" vertical="center"/>
    </xf>
    <xf numFmtId="191" fontId="10" fillId="3" borderId="19" xfId="0" applyNumberFormat="1" applyFont="1" applyFill="1" applyBorder="1" applyAlignment="1" applyProtection="1">
      <alignment horizontal="right" vertical="center"/>
    </xf>
    <xf numFmtId="0" fontId="14" fillId="8" borderId="7" xfId="0" applyFont="1" applyFill="1" applyBorder="1" applyAlignment="1" applyProtection="1">
      <alignment horizontal="right" vertical="center"/>
    </xf>
    <xf numFmtId="0" fontId="14" fillId="8" borderId="8" xfId="0" applyFont="1" applyFill="1" applyBorder="1" applyAlignment="1" applyProtection="1">
      <alignment horizontal="right" vertical="center"/>
    </xf>
    <xf numFmtId="188" fontId="14" fillId="8" borderId="9" xfId="0" applyNumberFormat="1" applyFont="1" applyFill="1" applyBorder="1" applyAlignment="1" applyProtection="1">
      <alignment horizontal="right" vertical="center"/>
    </xf>
    <xf numFmtId="181" fontId="10" fillId="3" borderId="1" xfId="0" applyNumberFormat="1" applyFont="1" applyFill="1" applyBorder="1" applyAlignment="1" applyProtection="1">
      <alignment horizontal="right" vertical="center"/>
    </xf>
    <xf numFmtId="0" fontId="14" fillId="8" borderId="37" xfId="0" applyFont="1" applyFill="1" applyBorder="1" applyAlignment="1" applyProtection="1">
      <alignment horizontal="right" vertical="center"/>
    </xf>
    <xf numFmtId="0" fontId="14" fillId="8" borderId="11" xfId="0" applyFont="1" applyFill="1" applyBorder="1" applyAlignment="1" applyProtection="1">
      <alignment horizontal="right" vertical="center"/>
    </xf>
    <xf numFmtId="188" fontId="14" fillId="8" borderId="12" xfId="0" applyNumberFormat="1" applyFont="1" applyFill="1" applyBorder="1" applyAlignment="1" applyProtection="1">
      <alignment horizontal="right" vertical="center"/>
    </xf>
    <xf numFmtId="181" fontId="10" fillId="3" borderId="3" xfId="0" applyNumberFormat="1" applyFont="1" applyFill="1" applyBorder="1" applyAlignment="1" applyProtection="1">
      <alignment horizontal="right" vertical="center"/>
    </xf>
    <xf numFmtId="0" fontId="14" fillId="8" borderId="0" xfId="0" applyFont="1" applyFill="1" applyBorder="1" applyAlignment="1" applyProtection="1">
      <alignment horizontal="left" vertical="center"/>
    </xf>
    <xf numFmtId="0" fontId="24" fillId="8" borderId="0" xfId="0" applyFont="1" applyFill="1" applyBorder="1" applyAlignment="1" applyProtection="1">
      <alignment horizontal="right" vertical="center"/>
    </xf>
    <xf numFmtId="188" fontId="24" fillId="8" borderId="0" xfId="0" applyNumberFormat="1" applyFont="1" applyFill="1" applyBorder="1" applyAlignment="1" applyProtection="1">
      <alignment horizontal="right" vertical="center"/>
    </xf>
    <xf numFmtId="180" fontId="10" fillId="3" borderId="0" xfId="0" applyNumberFormat="1" applyFont="1" applyFill="1" applyBorder="1" applyAlignment="1" applyProtection="1">
      <alignment horizontal="right" vertical="center"/>
    </xf>
    <xf numFmtId="191" fontId="10" fillId="3" borderId="19" xfId="0" applyNumberFormat="1" applyFont="1" applyFill="1" applyBorder="1" applyAlignment="1" applyProtection="1">
      <alignment vertical="center"/>
    </xf>
    <xf numFmtId="191" fontId="2" fillId="5" borderId="36" xfId="0" applyNumberFormat="1" applyFont="1" applyFill="1" applyBorder="1" applyAlignment="1" applyProtection="1">
      <alignment vertical="center"/>
      <protection locked="0"/>
    </xf>
    <xf numFmtId="188" fontId="2" fillId="4" borderId="15" xfId="0" applyNumberFormat="1" applyFont="1" applyFill="1" applyBorder="1" applyAlignment="1" applyProtection="1">
      <alignment horizontal="right"/>
    </xf>
    <xf numFmtId="186" fontId="1" fillId="2" borderId="0" xfId="0" applyNumberFormat="1" applyFont="1" applyFill="1" applyBorder="1" applyProtection="1"/>
    <xf numFmtId="0" fontId="10" fillId="3" borderId="0" xfId="0" applyFont="1" applyFill="1" applyAlignment="1" applyProtection="1">
      <alignment horizontal="center"/>
    </xf>
    <xf numFmtId="0" fontId="26" fillId="2" borderId="0" xfId="0" applyFont="1" applyFill="1" applyAlignment="1" applyProtection="1">
      <alignment horizontal="center" vertical="center" wrapText="1"/>
    </xf>
    <xf numFmtId="0" fontId="10" fillId="6" borderId="20" xfId="0" applyFont="1" applyFill="1" applyBorder="1" applyAlignment="1" applyProtection="1">
      <alignment horizontal="center" vertical="center"/>
    </xf>
    <xf numFmtId="0" fontId="10" fillId="6" borderId="42" xfId="0" applyFont="1" applyFill="1" applyBorder="1" applyAlignment="1" applyProtection="1">
      <alignment horizontal="center" vertical="center"/>
    </xf>
    <xf numFmtId="0" fontId="10" fillId="6" borderId="2" xfId="0" applyFont="1" applyFill="1" applyBorder="1" applyAlignment="1" applyProtection="1">
      <alignment horizontal="center" vertical="center"/>
    </xf>
    <xf numFmtId="0" fontId="10" fillId="6" borderId="33" xfId="0" applyFont="1" applyFill="1" applyBorder="1" applyAlignment="1" applyProtection="1">
      <alignment horizontal="center" vertical="center"/>
    </xf>
    <xf numFmtId="0" fontId="10" fillId="6" borderId="34" xfId="0" applyFont="1" applyFill="1" applyBorder="1" applyAlignment="1" applyProtection="1">
      <alignment horizontal="center" vertical="center"/>
    </xf>
    <xf numFmtId="0" fontId="10" fillId="6" borderId="15" xfId="0" applyFont="1" applyFill="1" applyBorder="1" applyAlignment="1" applyProtection="1">
      <alignment horizontal="center" vertical="center"/>
    </xf>
    <xf numFmtId="0" fontId="2" fillId="4" borderId="33" xfId="0" applyFont="1" applyFill="1" applyBorder="1" applyAlignment="1" applyProtection="1">
      <alignment horizontal="center" vertical="center"/>
    </xf>
    <xf numFmtId="0" fontId="2" fillId="4" borderId="34" xfId="0" applyFont="1" applyFill="1" applyBorder="1" applyAlignment="1" applyProtection="1">
      <alignment horizontal="center" vertical="center"/>
    </xf>
    <xf numFmtId="0" fontId="2" fillId="4" borderId="15" xfId="0" applyFont="1" applyFill="1" applyBorder="1" applyAlignment="1" applyProtection="1">
      <alignment horizontal="center" vertical="center"/>
    </xf>
    <xf numFmtId="0" fontId="2" fillId="4" borderId="20" xfId="0" applyFont="1" applyFill="1" applyBorder="1" applyAlignment="1" applyProtection="1">
      <alignment horizontal="center" vertical="center"/>
    </xf>
    <xf numFmtId="0" fontId="2" fillId="4" borderId="42" xfId="0" applyFont="1" applyFill="1" applyBorder="1" applyAlignment="1" applyProtection="1">
      <alignment horizontal="center" vertical="center"/>
    </xf>
    <xf numFmtId="0" fontId="2" fillId="4" borderId="2" xfId="0" applyFont="1" applyFill="1" applyBorder="1" applyAlignment="1" applyProtection="1">
      <alignment horizontal="center" vertical="center"/>
    </xf>
    <xf numFmtId="0" fontId="10" fillId="3" borderId="0" xfId="0" applyFont="1" applyFill="1" applyAlignment="1" applyProtection="1">
      <alignment horizontal="center" vertical="center"/>
    </xf>
    <xf numFmtId="0" fontId="24" fillId="2" borderId="31" xfId="0" applyFont="1" applyFill="1" applyBorder="1" applyAlignment="1" applyProtection="1">
      <alignment horizontal="center" vertical="center"/>
    </xf>
    <xf numFmtId="0" fontId="10" fillId="6" borderId="34" xfId="0" applyFont="1" applyFill="1" applyBorder="1" applyAlignment="1" applyProtection="1">
      <alignment horizontal="center" vertical="center" wrapText="1"/>
    </xf>
    <xf numFmtId="0" fontId="10" fillId="6" borderId="15" xfId="0" applyFont="1" applyFill="1" applyBorder="1" applyAlignment="1" applyProtection="1">
      <alignment horizontal="center" vertical="center" wrapText="1"/>
    </xf>
    <xf numFmtId="0" fontId="1" fillId="2" borderId="20" xfId="0" applyFont="1" applyFill="1" applyBorder="1" applyAlignment="1">
      <alignment horizontal="center"/>
    </xf>
    <xf numFmtId="0" fontId="1" fillId="2" borderId="42" xfId="0" applyFont="1" applyFill="1" applyBorder="1" applyAlignment="1">
      <alignment horizontal="center"/>
    </xf>
    <xf numFmtId="0" fontId="1" fillId="2" borderId="2" xfId="0" applyFont="1" applyFill="1" applyBorder="1" applyAlignment="1">
      <alignment horizontal="center"/>
    </xf>
    <xf numFmtId="0" fontId="1" fillId="2" borderId="20" xfId="0" applyFont="1" applyFill="1" applyBorder="1" applyAlignment="1" applyProtection="1">
      <alignment horizontal="center" vertical="center"/>
    </xf>
    <xf numFmtId="0" fontId="1" fillId="2" borderId="2" xfId="0" applyFont="1" applyFill="1" applyBorder="1" applyAlignment="1" applyProtection="1">
      <alignment horizontal="center" vertical="center"/>
    </xf>
    <xf numFmtId="0" fontId="11" fillId="0" borderId="0" xfId="0" applyFont="1" applyAlignment="1" applyProtection="1">
      <alignment horizontal="left" vertical="center"/>
    </xf>
    <xf numFmtId="0" fontId="25" fillId="0" borderId="33" xfId="0" applyFont="1" applyBorder="1" applyAlignment="1" applyProtection="1">
      <alignment horizontal="center" vertical="center"/>
    </xf>
    <xf numFmtId="0" fontId="25" fillId="0" borderId="34" xfId="0" applyFont="1" applyBorder="1" applyAlignment="1" applyProtection="1">
      <alignment horizontal="center" vertical="center"/>
    </xf>
    <xf numFmtId="0" fontId="25" fillId="0" borderId="15" xfId="0" applyFont="1" applyBorder="1" applyAlignment="1" applyProtection="1">
      <alignment horizontal="center" vertical="center"/>
    </xf>
    <xf numFmtId="0" fontId="25" fillId="0" borderId="33" xfId="0" applyFont="1" applyFill="1" applyBorder="1" applyAlignment="1" applyProtection="1">
      <alignment horizontal="center"/>
    </xf>
    <xf numFmtId="0" fontId="25" fillId="0" borderId="34" xfId="0" applyFont="1" applyFill="1" applyBorder="1" applyAlignment="1" applyProtection="1">
      <alignment horizontal="center"/>
    </xf>
    <xf numFmtId="0" fontId="25" fillId="0" borderId="15" xfId="0" applyFont="1" applyFill="1" applyBorder="1" applyAlignment="1" applyProtection="1">
      <alignment horizontal="center"/>
    </xf>
    <xf numFmtId="0" fontId="10" fillId="3" borderId="0" xfId="0" applyFont="1" applyFill="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9525</xdr:rowOff>
    </xdr:from>
    <xdr:to>
      <xdr:col>14</xdr:col>
      <xdr:colOff>333375</xdr:colOff>
      <xdr:row>34</xdr:row>
      <xdr:rowOff>76200</xdr:rowOff>
    </xdr:to>
    <xdr:sp macro="" textlink="">
      <xdr:nvSpPr>
        <xdr:cNvPr id="1025" name="Text Box 1">
          <a:extLst>
            <a:ext uri="{FF2B5EF4-FFF2-40B4-BE49-F238E27FC236}">
              <a16:creationId xmlns:a16="http://schemas.microsoft.com/office/drawing/2014/main" id="{8EC098E1-CF52-46D8-B6A6-08534643AA72}"/>
            </a:ext>
          </a:extLst>
        </xdr:cNvPr>
        <xdr:cNvSpPr txBox="1">
          <a:spLocks noChangeArrowheads="1"/>
        </xdr:cNvSpPr>
      </xdr:nvSpPr>
      <xdr:spPr bwMode="auto">
        <a:xfrm>
          <a:off x="38100" y="9525"/>
          <a:ext cx="8829675" cy="557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GB" sz="1000" b="1" i="0" u="none" strike="noStrike" baseline="0">
              <a:solidFill>
                <a:srgbClr val="000000"/>
              </a:solidFill>
              <a:latin typeface="Times New Roman"/>
              <a:cs typeface="Times New Roman"/>
            </a:rPr>
            <a:t>ProjectionandTransformationCalculations.xls v3.36  23-December-2013</a:t>
          </a:r>
          <a:endParaRPr lang="en-GB" sz="1000" b="0" i="0" u="none" strike="noStrike" baseline="0">
            <a:solidFill>
              <a:srgbClr val="000000"/>
            </a:solidFill>
            <a:latin typeface="Times New Roman"/>
            <a:cs typeface="Times New Roman"/>
          </a:endParaRPr>
        </a:p>
        <a:p>
          <a:pPr algn="l" rtl="0">
            <a:defRPr sz="1000"/>
          </a:pPr>
          <a:endParaRPr lang="en-GB" sz="1000" b="0" i="0" u="none" strike="noStrike" baseline="0">
            <a:solidFill>
              <a:srgbClr val="000000"/>
            </a:solidFill>
            <a:latin typeface="Times New Roman"/>
            <a:cs typeface="Times New Roman"/>
          </a:endParaRPr>
        </a:p>
        <a:p>
          <a:pPr algn="l" rtl="0">
            <a:defRPr sz="1000"/>
          </a:pPr>
          <a:r>
            <a:rPr lang="en-GB" sz="1000" b="0" i="0" u="none" strike="noStrike" baseline="0">
              <a:solidFill>
                <a:srgbClr val="000000"/>
              </a:solidFill>
              <a:latin typeface="Times New Roman"/>
              <a:cs typeface="Times New Roman"/>
            </a:rPr>
            <a:t>This spreadsheet which will carry out common calculations with coordinates.  All of the concepts and formulae given in "A guide to coordinate systems in Great Britain", which is the user manual for these calculations, are detailed in this spreadsheet. "A guide to coordinate systems in Great Britain" is available from the Ordnance Survey GPS web site (www.ordnancesurvey.co.uk/gps).  The guide gives some important warnings about the use of its formulae, which you should be aware of.  There are also other projection functions such as scale factors, convergence and t-T in this spreadsheet that are not in the guide.</a:t>
          </a:r>
        </a:p>
        <a:p>
          <a:pPr algn="l" rtl="0">
            <a:defRPr sz="1000"/>
          </a:pPr>
          <a:endParaRPr lang="en-GB" sz="1000" b="0" i="0" u="none" strike="noStrike" baseline="0">
            <a:solidFill>
              <a:srgbClr val="000000"/>
            </a:solidFill>
            <a:latin typeface="Times New Roman"/>
            <a:cs typeface="Times New Roman"/>
          </a:endParaRPr>
        </a:p>
        <a:p>
          <a:pPr algn="l" rtl="0">
            <a:defRPr sz="1000"/>
          </a:pPr>
          <a:r>
            <a:rPr lang="en-GB" sz="1000" b="0" i="0" u="none" strike="noStrike" baseline="0">
              <a:solidFill>
                <a:srgbClr val="000000"/>
              </a:solidFill>
              <a:latin typeface="Times New Roman"/>
              <a:cs typeface="Times New Roman"/>
            </a:rPr>
            <a:t>The </a:t>
          </a:r>
          <a:r>
            <a:rPr lang="en-GB" sz="1000" b="1" i="0" u="none" strike="noStrike" baseline="0">
              <a:solidFill>
                <a:srgbClr val="000000"/>
              </a:solidFill>
              <a:latin typeface="Times New Roman"/>
              <a:cs typeface="Times New Roman"/>
            </a:rPr>
            <a:t>Constants</a:t>
          </a:r>
          <a:r>
            <a:rPr lang="en-GB" sz="1000" b="0" i="0" u="none" strike="noStrike" baseline="0">
              <a:solidFill>
                <a:srgbClr val="000000"/>
              </a:solidFill>
              <a:latin typeface="Times New Roman"/>
              <a:cs typeface="Times New Roman"/>
            </a:rPr>
            <a:t> sheet is where ellipsoid, projection and Helmert transformation parameters are entered.</a:t>
          </a:r>
        </a:p>
        <a:p>
          <a:pPr algn="l" rtl="0">
            <a:defRPr sz="1000"/>
          </a:pPr>
          <a:r>
            <a:rPr lang="en-GB" sz="1000" b="0" i="0" u="none" strike="noStrike" baseline="0">
              <a:solidFill>
                <a:srgbClr val="000000"/>
              </a:solidFill>
              <a:latin typeface="Times New Roman"/>
              <a:cs typeface="Times New Roman"/>
            </a:rPr>
            <a:t>The </a:t>
          </a:r>
          <a:r>
            <a:rPr lang="en-GB" sz="1000" b="1" i="0" u="none" strike="noStrike" baseline="0">
              <a:solidFill>
                <a:srgbClr val="000000"/>
              </a:solidFill>
              <a:latin typeface="Times New Roman"/>
              <a:cs typeface="Times New Roman"/>
            </a:rPr>
            <a:t>Enter coordinates here </a:t>
          </a:r>
          <a:r>
            <a:rPr lang="en-GB" sz="1000" b="0" i="0" u="none" strike="noStrike" baseline="0">
              <a:solidFill>
                <a:srgbClr val="000000"/>
              </a:solidFill>
              <a:latin typeface="Times New Roman"/>
              <a:cs typeface="Times New Roman"/>
            </a:rPr>
            <a:t>sheet is for user input of coordinates to the calculations.</a:t>
          </a:r>
        </a:p>
        <a:p>
          <a:pPr algn="l" rtl="0">
            <a:defRPr sz="1000"/>
          </a:pPr>
          <a:r>
            <a:rPr lang="en-GB" sz="1000" b="0" i="0" u="none" strike="noStrike" baseline="0">
              <a:solidFill>
                <a:srgbClr val="000000"/>
              </a:solidFill>
              <a:latin typeface="Times New Roman"/>
              <a:cs typeface="Times New Roman"/>
            </a:rPr>
            <a:t>Use the                       buttons at the bottom left of the screen to scroll through the other sheets.</a:t>
          </a:r>
        </a:p>
        <a:p>
          <a:pPr algn="l" rtl="0">
            <a:defRPr sz="1000"/>
          </a:pPr>
          <a:r>
            <a:rPr lang="en-GB" sz="1000" b="0" i="0" u="none" strike="noStrike" baseline="0">
              <a:solidFill>
                <a:srgbClr val="000000"/>
              </a:solidFill>
              <a:latin typeface="Times New Roman"/>
              <a:cs typeface="Times New Roman"/>
            </a:rPr>
            <a:t>Each sheet carries out a different calculation.  The calculations are shown in "step by step" format where all the intermediate calculation results are given and they are also shown as results in single cells computed by user defined functions written in Visual Basic.  The code for the user defined functions can be viewed and if required copied to other applications.</a:t>
          </a:r>
        </a:p>
        <a:p>
          <a:pPr algn="l" rtl="0">
            <a:defRPr sz="1000"/>
          </a:pPr>
          <a:endParaRPr lang="en-GB" sz="1000" b="0" i="0" u="none" strike="noStrike" baseline="0">
            <a:solidFill>
              <a:srgbClr val="000000"/>
            </a:solidFill>
            <a:latin typeface="Times New Roman"/>
            <a:cs typeface="Times New Roman"/>
          </a:endParaRPr>
        </a:p>
        <a:p>
          <a:pPr algn="l" rtl="0">
            <a:defRPr sz="1000"/>
          </a:pPr>
          <a:r>
            <a:rPr lang="en-GB" sz="1000" b="0" i="0" u="none" strike="noStrike" baseline="0">
              <a:solidFill>
                <a:srgbClr val="000000"/>
              </a:solidFill>
              <a:latin typeface="Times New Roman"/>
              <a:cs typeface="Times New Roman"/>
            </a:rPr>
            <a:t>The calculation sheets are as follows:-</a:t>
          </a:r>
        </a:p>
        <a:p>
          <a:pPr algn="l" rtl="0">
            <a:defRPr sz="1000"/>
          </a:pPr>
          <a:r>
            <a:rPr lang="en-GB" sz="1000" b="1" i="0" u="none" strike="noStrike" baseline="0">
              <a:solidFill>
                <a:srgbClr val="000000"/>
              </a:solidFill>
              <a:latin typeface="Times New Roman"/>
              <a:cs typeface="Times New Roman"/>
            </a:rPr>
            <a:t>Lat &amp; Long Format Conversions</a:t>
          </a:r>
          <a:r>
            <a:rPr lang="en-GB" sz="1000" b="0" i="0" u="none" strike="noStrike" baseline="0">
              <a:solidFill>
                <a:srgbClr val="000000"/>
              </a:solidFill>
              <a:latin typeface="Times New Roman"/>
              <a:cs typeface="Times New Roman"/>
            </a:rPr>
            <a:t> converts between DMS format, decimal degrees and degrees &amp; decimal minutes.</a:t>
          </a:r>
        </a:p>
        <a:p>
          <a:pPr algn="l" rtl="0">
            <a:defRPr sz="1000"/>
          </a:pPr>
          <a:r>
            <a:rPr lang="en-GB" sz="1000" b="1" i="0" u="none" strike="noStrike" baseline="0">
              <a:solidFill>
                <a:srgbClr val="000000"/>
              </a:solidFill>
              <a:latin typeface="Times New Roman"/>
              <a:cs typeface="Times New Roman"/>
            </a:rPr>
            <a:t>Helmert Transformation</a:t>
          </a:r>
          <a:r>
            <a:rPr lang="en-GB" sz="1000" b="0" i="0" u="none" strike="noStrike" baseline="0">
              <a:solidFill>
                <a:srgbClr val="000000"/>
              </a:solidFill>
              <a:latin typeface="Times New Roman"/>
              <a:cs typeface="Times New Roman"/>
            </a:rPr>
            <a:t> transforms the user entered cartesian coordinates to cartesian coordinates on a new datum using the transformation parameters from </a:t>
          </a:r>
          <a:r>
            <a:rPr lang="en-GB" sz="1000" b="1" i="0" u="none" strike="noStrike" baseline="0">
              <a:solidFill>
                <a:srgbClr val="000000"/>
              </a:solidFill>
              <a:latin typeface="Times New Roman"/>
              <a:cs typeface="Times New Roman"/>
            </a:rPr>
            <a:t>Constants.</a:t>
          </a:r>
          <a:endParaRPr lang="en-GB" sz="1000" b="0" i="0" u="none" strike="noStrike" baseline="0">
            <a:solidFill>
              <a:srgbClr val="000000"/>
            </a:solidFill>
            <a:latin typeface="Times New Roman"/>
            <a:cs typeface="Times New Roman"/>
          </a:endParaRPr>
        </a:p>
        <a:p>
          <a:pPr algn="l" rtl="0">
            <a:defRPr sz="1000"/>
          </a:pPr>
          <a:r>
            <a:rPr lang="en-GB" sz="1000" b="1" i="0" u="none" strike="noStrike" baseline="0">
              <a:solidFill>
                <a:srgbClr val="000000"/>
              </a:solidFill>
              <a:latin typeface="Times New Roman"/>
              <a:cs typeface="Times New Roman"/>
            </a:rPr>
            <a:t>XYZ to lat,long,H</a:t>
          </a:r>
          <a:r>
            <a:rPr lang="en-GB" sz="1000" b="0" i="0" u="none" strike="noStrike" baseline="0">
              <a:solidFill>
                <a:srgbClr val="000000"/>
              </a:solidFill>
              <a:latin typeface="Times New Roman"/>
              <a:cs typeface="Times New Roman"/>
            </a:rPr>
            <a:t> converts the user entered cartesian coordinates to geodetic coordinates in DMS format using the ellipsoidal parameters from </a:t>
          </a:r>
          <a:r>
            <a:rPr lang="en-GB" sz="1000" b="1" i="0" u="none" strike="noStrike" baseline="0">
              <a:solidFill>
                <a:srgbClr val="000000"/>
              </a:solidFill>
              <a:latin typeface="Times New Roman"/>
              <a:cs typeface="Times New Roman"/>
            </a:rPr>
            <a:t>Constants</a:t>
          </a:r>
          <a:r>
            <a:rPr lang="en-GB" sz="1000" b="0" i="0" u="none" strike="noStrike" baseline="0">
              <a:solidFill>
                <a:srgbClr val="000000"/>
              </a:solidFill>
              <a:latin typeface="Times New Roman"/>
              <a:cs typeface="Times New Roman"/>
            </a:rPr>
            <a:t>.</a:t>
          </a:r>
        </a:p>
        <a:p>
          <a:pPr algn="l" rtl="0">
            <a:defRPr sz="1000"/>
          </a:pPr>
          <a:r>
            <a:rPr lang="en-GB" sz="1000" b="1" i="0" u="none" strike="noStrike" baseline="0">
              <a:solidFill>
                <a:srgbClr val="000000"/>
              </a:solidFill>
              <a:latin typeface="Times New Roman"/>
              <a:cs typeface="Times New Roman"/>
            </a:rPr>
            <a:t>lat,long to E,N</a:t>
          </a:r>
          <a:r>
            <a:rPr lang="en-GB" sz="1000" b="0" i="0" u="none" strike="noStrike" baseline="0">
              <a:solidFill>
                <a:srgbClr val="000000"/>
              </a:solidFill>
              <a:latin typeface="Times New Roman"/>
              <a:cs typeface="Times New Roman"/>
            </a:rPr>
            <a:t> projects the user entered geodetic coordinates to easting and northings using a Transverse Mercator projection and the ellipsoid and projection parameters from </a:t>
          </a:r>
          <a:r>
            <a:rPr lang="en-GB" sz="1000" b="1" i="0" u="none" strike="noStrike" baseline="0">
              <a:solidFill>
                <a:srgbClr val="000000"/>
              </a:solidFill>
              <a:latin typeface="Times New Roman"/>
              <a:cs typeface="Times New Roman"/>
            </a:rPr>
            <a:t>Constants.</a:t>
          </a:r>
        </a:p>
        <a:p>
          <a:pPr algn="l" rtl="0">
            <a:defRPr sz="1000"/>
          </a:pPr>
          <a:r>
            <a:rPr lang="en-GB" sz="1000" b="1" i="0" u="none" strike="noStrike" baseline="0">
              <a:solidFill>
                <a:srgbClr val="000000"/>
              </a:solidFill>
              <a:latin typeface="Times New Roman"/>
              <a:cs typeface="Times New Roman"/>
            </a:rPr>
            <a:t>E,N to lat,long</a:t>
          </a:r>
          <a:r>
            <a:rPr lang="en-GB" sz="1000" b="0" i="0" u="none" strike="noStrike" baseline="0">
              <a:solidFill>
                <a:srgbClr val="000000"/>
              </a:solidFill>
              <a:latin typeface="Times New Roman"/>
              <a:cs typeface="Times New Roman"/>
            </a:rPr>
            <a:t> is the reverse of </a:t>
          </a:r>
          <a:r>
            <a:rPr lang="en-GB" sz="1000" b="1" i="0" u="none" strike="noStrike" baseline="0">
              <a:solidFill>
                <a:srgbClr val="000000"/>
              </a:solidFill>
              <a:latin typeface="Times New Roman"/>
              <a:cs typeface="Times New Roman"/>
            </a:rPr>
            <a:t> lat,long to E,N</a:t>
          </a:r>
          <a:r>
            <a:rPr lang="en-GB" sz="1000" b="0" i="0" u="none" strike="noStrike" baseline="0">
              <a:solidFill>
                <a:srgbClr val="000000"/>
              </a:solidFill>
              <a:latin typeface="Times New Roman"/>
              <a:cs typeface="Times New Roman"/>
            </a:rPr>
            <a:t>.</a:t>
          </a:r>
          <a:endParaRPr lang="en-GB" sz="1000" b="1" i="0" u="none" strike="noStrike" baseline="0">
            <a:solidFill>
              <a:srgbClr val="000000"/>
            </a:solidFill>
            <a:latin typeface="Times New Roman"/>
            <a:cs typeface="Times New Roman"/>
          </a:endParaRPr>
        </a:p>
        <a:p>
          <a:pPr algn="l" rtl="0">
            <a:defRPr sz="1000"/>
          </a:pPr>
          <a:r>
            <a:rPr lang="en-GB" sz="1000" b="1" i="0" u="none" strike="noStrike" baseline="0">
              <a:solidFill>
                <a:srgbClr val="000000"/>
              </a:solidFill>
              <a:latin typeface="Times New Roman"/>
              <a:cs typeface="Times New Roman"/>
            </a:rPr>
            <a:t>lat,long,H to XYZ </a:t>
          </a:r>
          <a:r>
            <a:rPr lang="en-GB" sz="1000" b="0" i="0" u="none" strike="noStrike" baseline="0">
              <a:solidFill>
                <a:srgbClr val="000000"/>
              </a:solidFill>
              <a:latin typeface="Times New Roman"/>
              <a:cs typeface="Times New Roman"/>
            </a:rPr>
            <a:t>is the reverse of </a:t>
          </a:r>
          <a:r>
            <a:rPr lang="en-GB" sz="1000" b="1" i="0" u="none" strike="noStrike" baseline="0">
              <a:solidFill>
                <a:srgbClr val="000000"/>
              </a:solidFill>
              <a:latin typeface="Times New Roman"/>
              <a:cs typeface="Times New Roman"/>
            </a:rPr>
            <a:t> XYZ to lat,long,H</a:t>
          </a:r>
          <a:r>
            <a:rPr lang="en-GB" sz="1000" b="0" i="0" u="none" strike="noStrike" baseline="0">
              <a:solidFill>
                <a:srgbClr val="000000"/>
              </a:solidFill>
              <a:latin typeface="Times New Roman"/>
              <a:cs typeface="Times New Roman"/>
            </a:rPr>
            <a:t>.</a:t>
          </a:r>
          <a:endParaRPr lang="en-GB" sz="1000" b="1" i="0" u="none" strike="noStrike" baseline="0">
            <a:solidFill>
              <a:srgbClr val="000000"/>
            </a:solidFill>
            <a:latin typeface="Times New Roman"/>
            <a:cs typeface="Times New Roman"/>
          </a:endParaRPr>
        </a:p>
        <a:p>
          <a:pPr algn="l" rtl="0">
            <a:defRPr sz="1000"/>
          </a:pPr>
          <a:r>
            <a:rPr lang="en-GB" sz="1000" b="1" i="0" u="none" strike="noStrike" baseline="0">
              <a:solidFill>
                <a:srgbClr val="000000"/>
              </a:solidFill>
              <a:latin typeface="Times New Roman"/>
              <a:cs typeface="Times New Roman"/>
            </a:rPr>
            <a:t>UD Funcs Transformation Example</a:t>
          </a:r>
          <a:r>
            <a:rPr lang="en-GB" sz="1000" b="0" i="0" u="none" strike="noStrike" baseline="0">
              <a:solidFill>
                <a:srgbClr val="000000"/>
              </a:solidFill>
              <a:latin typeface="Times New Roman"/>
              <a:cs typeface="Times New Roman"/>
            </a:rPr>
            <a:t> shows how a complete Helmert transformation from WGS84 geodetic coordinates to OSGB36 Eastings and Northings and vice versa can be carried out using the user defined functions.</a:t>
          </a:r>
        </a:p>
        <a:p>
          <a:pPr algn="l" rtl="0">
            <a:defRPr sz="1000"/>
          </a:pPr>
          <a:r>
            <a:rPr lang="en-GB" sz="1000" b="1" i="0" u="none" strike="noStrike" baseline="0">
              <a:solidFill>
                <a:srgbClr val="000000"/>
              </a:solidFill>
              <a:latin typeface="Times New Roman"/>
              <a:cs typeface="Times New Roman"/>
            </a:rPr>
            <a:t>convergence from lat &amp; long</a:t>
          </a:r>
          <a:r>
            <a:rPr lang="en-GB" sz="1000" b="0" i="0" u="none" strike="noStrike" baseline="0">
              <a:solidFill>
                <a:srgbClr val="000000"/>
              </a:solidFill>
              <a:latin typeface="Times New Roman"/>
              <a:cs typeface="Times New Roman"/>
            </a:rPr>
            <a:t> computes the convergence at the geodetic coordinate entered by the user.</a:t>
          </a:r>
          <a:endParaRPr lang="en-GB" sz="1000" b="1" i="0" u="none" strike="noStrike" baseline="0">
            <a:solidFill>
              <a:srgbClr val="000000"/>
            </a:solidFill>
            <a:latin typeface="Times New Roman"/>
            <a:cs typeface="Times New Roman"/>
          </a:endParaRPr>
        </a:p>
        <a:p>
          <a:pPr algn="l" rtl="0">
            <a:defRPr sz="1000"/>
          </a:pPr>
          <a:r>
            <a:rPr lang="en-GB" sz="1000" b="1" i="0" u="none" strike="noStrike" baseline="0">
              <a:solidFill>
                <a:srgbClr val="000000"/>
              </a:solidFill>
              <a:latin typeface="Times New Roman"/>
              <a:cs typeface="Times New Roman"/>
            </a:rPr>
            <a:t>convergence from E,N</a:t>
          </a:r>
          <a:r>
            <a:rPr lang="en-GB" sz="1000" b="0" i="0" u="none" strike="noStrike" baseline="0">
              <a:solidFill>
                <a:srgbClr val="000000"/>
              </a:solidFill>
              <a:latin typeface="Times New Roman"/>
              <a:cs typeface="Times New Roman"/>
            </a:rPr>
            <a:t> computes the convergence at the easting, northing entered by the user.</a:t>
          </a:r>
        </a:p>
        <a:p>
          <a:pPr algn="l" rtl="0">
            <a:defRPr sz="1000"/>
          </a:pPr>
          <a:r>
            <a:rPr lang="en-GB" sz="1000" b="1" i="0" u="none" strike="noStrike" baseline="0">
              <a:solidFill>
                <a:srgbClr val="000000"/>
              </a:solidFill>
              <a:latin typeface="Times New Roman"/>
              <a:cs typeface="Times New Roman"/>
            </a:rPr>
            <a:t>local scale factor from lat,lon</a:t>
          </a:r>
          <a:r>
            <a:rPr lang="en-GB" sz="1000" b="0" i="0" u="none" strike="noStrike" baseline="0">
              <a:solidFill>
                <a:srgbClr val="000000"/>
              </a:solidFill>
              <a:latin typeface="Times New Roman"/>
              <a:cs typeface="Times New Roman"/>
            </a:rPr>
            <a:t> computes the local scale factor at the geodetic coordinate entered by the user.</a:t>
          </a:r>
        </a:p>
        <a:p>
          <a:pPr algn="l" rtl="0">
            <a:defRPr sz="1000"/>
          </a:pPr>
          <a:r>
            <a:rPr lang="en-GB" sz="1000" b="1" i="0" u="none" strike="noStrike" baseline="0">
              <a:solidFill>
                <a:srgbClr val="000000"/>
              </a:solidFill>
              <a:latin typeface="Times New Roman"/>
              <a:cs typeface="Times New Roman"/>
            </a:rPr>
            <a:t>local &amp; line sf from E,N</a:t>
          </a:r>
          <a:r>
            <a:rPr lang="en-GB" sz="1000" b="0" i="0" u="none" strike="noStrike" baseline="0">
              <a:solidFill>
                <a:srgbClr val="000000"/>
              </a:solidFill>
              <a:latin typeface="Times New Roman"/>
              <a:cs typeface="Times New Roman"/>
            </a:rPr>
            <a:t> computes the local scale factor at the easting, northing entered by the user and also the line scale factor between easting, northing and easting2, northing2.</a:t>
          </a:r>
        </a:p>
        <a:p>
          <a:pPr algn="l" rtl="0">
            <a:defRPr sz="1000"/>
          </a:pPr>
          <a:r>
            <a:rPr lang="en-GB" sz="1000" b="1" i="0" u="none" strike="noStrike" baseline="0">
              <a:solidFill>
                <a:srgbClr val="000000"/>
              </a:solidFill>
              <a:latin typeface="Times New Roman"/>
              <a:cs typeface="Times New Roman"/>
            </a:rPr>
            <a:t>t-T correction from E,N</a:t>
          </a:r>
          <a:r>
            <a:rPr lang="en-GB" sz="1000" b="0" i="0" u="none" strike="noStrike" baseline="0">
              <a:solidFill>
                <a:srgbClr val="000000"/>
              </a:solidFill>
              <a:latin typeface="Times New Roman"/>
              <a:cs typeface="Times New Roman"/>
            </a:rPr>
            <a:t> computes the t-T (difference between true and projected directions) between easting, northing and easting2, northing2 entered by the user.</a:t>
          </a:r>
        </a:p>
        <a:p>
          <a:pPr algn="l" rtl="0">
            <a:defRPr sz="1000"/>
          </a:pPr>
          <a:r>
            <a:rPr lang="en-GB" sz="1000" b="1" i="0" u="none" strike="noStrike" baseline="0">
              <a:solidFill>
                <a:srgbClr val="000000"/>
              </a:solidFill>
              <a:latin typeface="Times New Roman"/>
              <a:cs typeface="Times New Roman"/>
            </a:rPr>
            <a:t>true azimuth from E,N </a:t>
          </a:r>
          <a:r>
            <a:rPr lang="en-GB" sz="1000" b="0" i="0" u="none" strike="noStrike" baseline="0">
              <a:solidFill>
                <a:srgbClr val="000000"/>
              </a:solidFill>
              <a:latin typeface="Times New Roman"/>
              <a:cs typeface="Times New Roman"/>
            </a:rPr>
            <a:t>computes the true direction (after allowing for t-T and convergence) between easting, northing and easting2, northing2 entered by the user.</a:t>
          </a:r>
        </a:p>
        <a:p>
          <a:pPr algn="l" rtl="0">
            <a:defRPr sz="1000"/>
          </a:pPr>
          <a:endParaRPr lang="en-GB" sz="1000" b="0" i="0" u="none" strike="noStrike" baseline="0">
            <a:solidFill>
              <a:srgbClr val="000000"/>
            </a:solidFill>
            <a:latin typeface="Times New Roman"/>
            <a:cs typeface="Times New Roman"/>
          </a:endParaRPr>
        </a:p>
        <a:p>
          <a:pPr algn="l" rtl="0">
            <a:defRPr sz="1000"/>
          </a:pPr>
          <a:r>
            <a:rPr lang="en-GB" sz="1000" b="0" i="0" u="none" strike="noStrike" baseline="0">
              <a:solidFill>
                <a:srgbClr val="000000"/>
              </a:solidFill>
              <a:latin typeface="Times New Roman"/>
              <a:cs typeface="Times New Roman"/>
            </a:rPr>
            <a:t>Cells for user data entry are coloured                     Cells giving calculation results are coloured                  Cells showing intermediate calculation steps are coloured</a:t>
          </a:r>
        </a:p>
        <a:p>
          <a:pPr algn="l" rtl="0">
            <a:defRPr sz="1000"/>
          </a:pPr>
          <a:r>
            <a:rPr lang="en-GB" sz="1000" b="0" i="0" u="none" strike="noStrike" baseline="0">
              <a:solidFill>
                <a:srgbClr val="000000"/>
              </a:solidFill>
              <a:latin typeface="Times New Roman"/>
              <a:cs typeface="Times New Roman"/>
            </a:rPr>
            <a:t>Cells which repeat the user inputted data are coloured </a:t>
          </a:r>
        </a:p>
        <a:p>
          <a:pPr algn="l" rtl="0">
            <a:defRPr sz="1000"/>
          </a:pPr>
          <a:endParaRPr lang="en-GB" sz="1000" b="0" i="0" u="none" strike="noStrike" baseline="0">
            <a:solidFill>
              <a:srgbClr val="000000"/>
            </a:solidFill>
            <a:latin typeface="Times New Roman"/>
            <a:cs typeface="Times New Roman"/>
          </a:endParaRPr>
        </a:p>
      </xdr:txBody>
    </xdr:sp>
    <xdr:clientData/>
  </xdr:twoCellAnchor>
  <xdr:twoCellAnchor>
    <xdr:from>
      <xdr:col>3</xdr:col>
      <xdr:colOff>209550</xdr:colOff>
      <xdr:row>29</xdr:row>
      <xdr:rowOff>19050</xdr:rowOff>
    </xdr:from>
    <xdr:to>
      <xdr:col>4</xdr:col>
      <xdr:colOff>38100</xdr:colOff>
      <xdr:row>29</xdr:row>
      <xdr:rowOff>133350</xdr:rowOff>
    </xdr:to>
    <xdr:sp macro="" textlink="">
      <xdr:nvSpPr>
        <xdr:cNvPr id="1066" name="Rectangle 2">
          <a:extLst>
            <a:ext uri="{FF2B5EF4-FFF2-40B4-BE49-F238E27FC236}">
              <a16:creationId xmlns:a16="http://schemas.microsoft.com/office/drawing/2014/main" id="{71441D39-EB0F-4C47-9241-F831442D4DF6}"/>
            </a:ext>
          </a:extLst>
        </xdr:cNvPr>
        <xdr:cNvSpPr>
          <a:spLocks noChangeArrowheads="1"/>
        </xdr:cNvSpPr>
      </xdr:nvSpPr>
      <xdr:spPr bwMode="auto">
        <a:xfrm>
          <a:off x="2038350" y="4714875"/>
          <a:ext cx="438150" cy="1143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C0C0C0" mc:Ignorable="a14" a14:legacySpreadsheetColorIndex="22"/>
          </a:solidFill>
          <a:miter lim="800000"/>
          <a:headEnd/>
          <a:tailEnd/>
        </a:ln>
      </xdr:spPr>
    </xdr:sp>
    <xdr:clientData/>
  </xdr:twoCellAnchor>
  <xdr:twoCellAnchor editAs="oneCell">
    <xdr:from>
      <xdr:col>0</xdr:col>
      <xdr:colOff>552450</xdr:colOff>
      <xdr:row>8</xdr:row>
      <xdr:rowOff>47625</xdr:rowOff>
    </xdr:from>
    <xdr:to>
      <xdr:col>1</xdr:col>
      <xdr:colOff>514350</xdr:colOff>
      <xdr:row>9</xdr:row>
      <xdr:rowOff>19050</xdr:rowOff>
    </xdr:to>
    <xdr:pic>
      <xdr:nvPicPr>
        <xdr:cNvPr id="1067" name="Picture 7">
          <a:extLst>
            <a:ext uri="{FF2B5EF4-FFF2-40B4-BE49-F238E27FC236}">
              <a16:creationId xmlns:a16="http://schemas.microsoft.com/office/drawing/2014/main" id="{5378FD1D-DF03-4B42-AE38-71CB5FEE85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2450" y="1343025"/>
          <a:ext cx="57150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38100</xdr:colOff>
      <xdr:row>29</xdr:row>
      <xdr:rowOff>19050</xdr:rowOff>
    </xdr:from>
    <xdr:to>
      <xdr:col>8</xdr:col>
      <xdr:colOff>476250</xdr:colOff>
      <xdr:row>29</xdr:row>
      <xdr:rowOff>133350</xdr:rowOff>
    </xdr:to>
    <xdr:sp macro="" textlink="">
      <xdr:nvSpPr>
        <xdr:cNvPr id="1068" name="Rectangle 8">
          <a:extLst>
            <a:ext uri="{FF2B5EF4-FFF2-40B4-BE49-F238E27FC236}">
              <a16:creationId xmlns:a16="http://schemas.microsoft.com/office/drawing/2014/main" id="{B6F53DA3-4B50-4738-8F46-8E97E128BA7A}"/>
            </a:ext>
          </a:extLst>
        </xdr:cNvPr>
        <xdr:cNvSpPr>
          <a:spLocks noChangeArrowheads="1"/>
        </xdr:cNvSpPr>
      </xdr:nvSpPr>
      <xdr:spPr bwMode="auto">
        <a:xfrm>
          <a:off x="4914900" y="4714875"/>
          <a:ext cx="438150" cy="114300"/>
        </a:xfrm>
        <a:prstGeom prst="rect">
          <a:avLst/>
        </a:prstGeom>
        <a:solidFill>
          <a:srgbClr xmlns:mc="http://schemas.openxmlformats.org/markup-compatibility/2006" xmlns:a14="http://schemas.microsoft.com/office/drawing/2010/main" val="00FF00" mc:Ignorable="a14" a14:legacySpreadsheetColorIndex="11"/>
        </a:solidFill>
        <a:ln w="9525">
          <a:solidFill>
            <a:srgbClr xmlns:mc="http://schemas.openxmlformats.org/markup-compatibility/2006" xmlns:a14="http://schemas.microsoft.com/office/drawing/2010/main" val="C0C0C0" mc:Ignorable="a14" a14:legacySpreadsheetColorIndex="22"/>
          </a:solidFill>
          <a:miter lim="800000"/>
          <a:headEnd/>
          <a:tailEnd/>
        </a:ln>
      </xdr:spPr>
    </xdr:sp>
    <xdr:clientData/>
  </xdr:twoCellAnchor>
  <xdr:twoCellAnchor>
    <xdr:from>
      <xdr:col>13</xdr:col>
      <xdr:colOff>447675</xdr:colOff>
      <xdr:row>29</xdr:row>
      <xdr:rowOff>19050</xdr:rowOff>
    </xdr:from>
    <xdr:to>
      <xdr:col>14</xdr:col>
      <xdr:colOff>276225</xdr:colOff>
      <xdr:row>29</xdr:row>
      <xdr:rowOff>133350</xdr:rowOff>
    </xdr:to>
    <xdr:sp macro="" textlink="">
      <xdr:nvSpPr>
        <xdr:cNvPr id="1069" name="Rectangle 9">
          <a:extLst>
            <a:ext uri="{FF2B5EF4-FFF2-40B4-BE49-F238E27FC236}">
              <a16:creationId xmlns:a16="http://schemas.microsoft.com/office/drawing/2014/main" id="{1C9D6D9E-A29C-4CAA-9208-9650E854CA18}"/>
            </a:ext>
          </a:extLst>
        </xdr:cNvPr>
        <xdr:cNvSpPr>
          <a:spLocks noChangeArrowheads="1"/>
        </xdr:cNvSpPr>
      </xdr:nvSpPr>
      <xdr:spPr bwMode="auto">
        <a:xfrm>
          <a:off x="8372475" y="4714875"/>
          <a:ext cx="438150" cy="1143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C0C0C0" mc:Ignorable="a14" a14:legacySpreadsheetColorIndex="22"/>
          </a:solidFill>
          <a:miter lim="800000"/>
          <a:headEnd/>
          <a:tailEnd/>
        </a:ln>
      </xdr:spPr>
    </xdr:sp>
    <xdr:clientData/>
  </xdr:twoCellAnchor>
  <xdr:twoCellAnchor>
    <xdr:from>
      <xdr:col>4</xdr:col>
      <xdr:colOff>447675</xdr:colOff>
      <xdr:row>30</xdr:row>
      <xdr:rowOff>9525</xdr:rowOff>
    </xdr:from>
    <xdr:to>
      <xdr:col>5</xdr:col>
      <xdr:colOff>276225</xdr:colOff>
      <xdr:row>30</xdr:row>
      <xdr:rowOff>123825</xdr:rowOff>
    </xdr:to>
    <xdr:sp macro="" textlink="">
      <xdr:nvSpPr>
        <xdr:cNvPr id="1070" name="Rectangle 10">
          <a:extLst>
            <a:ext uri="{FF2B5EF4-FFF2-40B4-BE49-F238E27FC236}">
              <a16:creationId xmlns:a16="http://schemas.microsoft.com/office/drawing/2014/main" id="{DBD81B2D-6056-4CFA-BE6D-109678AC7224}"/>
            </a:ext>
          </a:extLst>
        </xdr:cNvPr>
        <xdr:cNvSpPr>
          <a:spLocks noChangeArrowheads="1"/>
        </xdr:cNvSpPr>
      </xdr:nvSpPr>
      <xdr:spPr bwMode="auto">
        <a:xfrm>
          <a:off x="2886075" y="4867275"/>
          <a:ext cx="438150" cy="114300"/>
        </a:xfrm>
        <a:prstGeom prst="rect">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C0C0C0" mc:Ignorable="a14" a14:legacySpreadsheetColorIndex="22"/>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B37" sqref="B37"/>
    </sheetView>
  </sheetViews>
  <sheetFormatPr defaultRowHeight="12.75" x14ac:dyDescent="0.2"/>
  <sheetData/>
  <sheetProtection sheet="1" objects="1" scenarios="1" selectLockedCells="1" selectUnlockedCells="1"/>
  <phoneticPr fontId="0" type="noConversion"/>
  <pageMargins left="0.75" right="0.75" top="1" bottom="1" header="0.5" footer="0.5"/>
  <pageSetup paperSize="9"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7"/>
  <sheetViews>
    <sheetView workbookViewId="0">
      <selection activeCell="B4" sqref="B4"/>
    </sheetView>
  </sheetViews>
  <sheetFormatPr defaultRowHeight="15" x14ac:dyDescent="0.25"/>
  <cols>
    <col min="1" max="1" width="25.5703125" style="2" customWidth="1"/>
    <col min="2" max="2" width="17.85546875" style="2" customWidth="1"/>
    <col min="3" max="3" width="24" style="2" bestFit="1" customWidth="1"/>
    <col min="4" max="4" width="2.85546875" style="2" customWidth="1"/>
    <col min="5" max="5" width="4.42578125" style="2" customWidth="1"/>
    <col min="6" max="6" width="3.7109375" style="2" customWidth="1"/>
    <col min="7" max="7" width="9.42578125" style="2" customWidth="1"/>
    <col min="8" max="8" width="13.140625" style="2" customWidth="1"/>
    <col min="9" max="9" width="12.7109375" style="2" bestFit="1" customWidth="1"/>
    <col min="10" max="16384" width="9.140625" style="2"/>
  </cols>
  <sheetData>
    <row r="1" spans="1:10" x14ac:dyDescent="0.25">
      <c r="A1" s="471" t="s">
        <v>0</v>
      </c>
      <c r="B1" s="471"/>
      <c r="C1" s="471"/>
      <c r="D1" s="471"/>
      <c r="E1" s="471"/>
      <c r="F1" s="471"/>
      <c r="G1" s="471"/>
      <c r="H1" s="471"/>
      <c r="I1" s="471"/>
      <c r="J1" s="76"/>
    </row>
    <row r="2" spans="1:10" x14ac:dyDescent="0.25">
      <c r="A2" s="3"/>
      <c r="B2" s="69"/>
      <c r="C2" s="3"/>
      <c r="D2" s="70"/>
      <c r="E2" s="70"/>
      <c r="F2" s="70"/>
      <c r="G2" s="70"/>
      <c r="H2" s="4"/>
      <c r="I2" s="4"/>
      <c r="J2" s="3"/>
    </row>
    <row r="3" spans="1:10" ht="15.75" thickBot="1" x14ac:dyDescent="0.3">
      <c r="A3" s="3"/>
      <c r="B3" s="3"/>
      <c r="C3" s="4"/>
      <c r="D3" s="4"/>
      <c r="E3" s="5" t="s">
        <v>1</v>
      </c>
      <c r="F3" s="5" t="s">
        <v>2</v>
      </c>
      <c r="G3" s="5" t="s">
        <v>3</v>
      </c>
      <c r="H3" s="5" t="s">
        <v>4</v>
      </c>
      <c r="I3" s="5" t="s">
        <v>5</v>
      </c>
      <c r="J3" s="3"/>
    </row>
    <row r="4" spans="1:10" ht="17.25" x14ac:dyDescent="0.3">
      <c r="A4" s="311" t="s">
        <v>208</v>
      </c>
      <c r="B4" s="174">
        <v>6377563.3959999997</v>
      </c>
      <c r="C4" s="313" t="s">
        <v>212</v>
      </c>
      <c r="D4" s="178" t="s">
        <v>6</v>
      </c>
      <c r="E4" s="179">
        <v>49</v>
      </c>
      <c r="F4" s="180">
        <v>0</v>
      </c>
      <c r="G4" s="181">
        <v>0</v>
      </c>
      <c r="H4" s="6">
        <f>IF(UPPER(D4)="S",((((G4/60)+F4)/60)+E4)*-1,((((G4/60)+F4)/60)+E4))</f>
        <v>49</v>
      </c>
      <c r="I4" s="7">
        <f>RADIANS(H4)</f>
        <v>0.85521133347722145</v>
      </c>
      <c r="J4" s="3"/>
    </row>
    <row r="5" spans="1:10" ht="18" thickBot="1" x14ac:dyDescent="0.35">
      <c r="A5" s="312" t="s">
        <v>207</v>
      </c>
      <c r="B5" s="175">
        <v>6356256.909</v>
      </c>
      <c r="C5" s="314" t="s">
        <v>213</v>
      </c>
      <c r="D5" s="182" t="s">
        <v>7</v>
      </c>
      <c r="E5" s="183">
        <v>2</v>
      </c>
      <c r="F5" s="184">
        <v>0</v>
      </c>
      <c r="G5" s="185">
        <v>0</v>
      </c>
      <c r="H5" s="8">
        <f>IF(UPPER(D5)="W",((((G5/60)+F5)/60)+E5)*-1,((((G5/60)+F5)/60)+E5))</f>
        <v>-2</v>
      </c>
      <c r="I5" s="9">
        <f>RADIANS(H5)</f>
        <v>-3.4906585039886591E-2</v>
      </c>
      <c r="J5" s="3"/>
    </row>
    <row r="6" spans="1:10" ht="17.25" x14ac:dyDescent="0.3">
      <c r="A6" s="312" t="s">
        <v>209</v>
      </c>
      <c r="B6" s="176">
        <v>0.99960127170000002</v>
      </c>
      <c r="C6" s="3"/>
      <c r="D6" s="3"/>
      <c r="E6" s="3"/>
      <c r="F6" s="3"/>
      <c r="G6" s="21" t="s">
        <v>142</v>
      </c>
      <c r="H6" s="161">
        <v>6377563.3959999997</v>
      </c>
      <c r="I6" s="3"/>
      <c r="J6" s="3"/>
    </row>
    <row r="7" spans="1:10" ht="17.25" x14ac:dyDescent="0.3">
      <c r="A7" s="312" t="s">
        <v>210</v>
      </c>
      <c r="B7" s="175">
        <v>400000</v>
      </c>
      <c r="C7" s="3"/>
      <c r="D7" s="3"/>
      <c r="E7" s="3"/>
      <c r="F7" s="3"/>
      <c r="G7" s="21" t="s">
        <v>143</v>
      </c>
      <c r="H7" s="161">
        <v>6356256.909</v>
      </c>
      <c r="I7" s="3"/>
      <c r="J7" s="3"/>
    </row>
    <row r="8" spans="1:10" ht="18" thickBot="1" x14ac:dyDescent="0.35">
      <c r="A8" s="312" t="s">
        <v>211</v>
      </c>
      <c r="B8" s="177">
        <v>-100000</v>
      </c>
      <c r="C8" s="3"/>
      <c r="D8" s="3"/>
      <c r="E8" s="4"/>
      <c r="F8" s="4"/>
      <c r="G8" s="5" t="s">
        <v>252</v>
      </c>
      <c r="H8" s="161">
        <v>6378137</v>
      </c>
      <c r="I8" s="3"/>
      <c r="J8" s="3"/>
    </row>
    <row r="9" spans="1:10" ht="16.5" customHeight="1" x14ac:dyDescent="0.3">
      <c r="A9" s="10" t="s">
        <v>8</v>
      </c>
      <c r="B9" s="11">
        <f>a*F0</f>
        <v>6375020.480988971</v>
      </c>
      <c r="C9" s="4"/>
      <c r="D9" s="3"/>
      <c r="E9" s="4"/>
      <c r="F9" s="4"/>
      <c r="G9" s="5" t="s">
        <v>144</v>
      </c>
      <c r="H9" s="470">
        <v>6356752.3141000001</v>
      </c>
      <c r="I9" s="472" t="s">
        <v>254</v>
      </c>
      <c r="J9" s="472"/>
    </row>
    <row r="10" spans="1:10" ht="16.5" x14ac:dyDescent="0.3">
      <c r="A10" s="10" t="s">
        <v>9</v>
      </c>
      <c r="B10" s="11">
        <f>b*F0</f>
        <v>6353722.4894883111</v>
      </c>
      <c r="C10" s="4"/>
      <c r="D10" s="3"/>
      <c r="E10" s="3"/>
      <c r="F10" s="3"/>
      <c r="G10" s="5" t="s">
        <v>253</v>
      </c>
      <c r="H10" s="470">
        <v>6356752.3141999999</v>
      </c>
      <c r="I10" s="472"/>
      <c r="J10" s="472"/>
    </row>
    <row r="11" spans="1:10" x14ac:dyDescent="0.25">
      <c r="A11" s="12"/>
      <c r="B11" s="12"/>
      <c r="C11" s="4"/>
      <c r="D11" s="3"/>
      <c r="E11" s="3"/>
      <c r="F11" s="3" t="s">
        <v>10</v>
      </c>
      <c r="G11" s="3"/>
      <c r="H11" s="3"/>
      <c r="I11" s="4"/>
      <c r="J11" s="3"/>
    </row>
    <row r="12" spans="1:10" x14ac:dyDescent="0.25">
      <c r="A12" s="55" t="s">
        <v>132</v>
      </c>
      <c r="B12" s="298"/>
      <c r="C12" s="13"/>
      <c r="D12" s="13"/>
      <c r="E12" s="13"/>
      <c r="G12" s="13"/>
    </row>
    <row r="13" spans="1:10" x14ac:dyDescent="0.25">
      <c r="A13" s="13" t="s">
        <v>12</v>
      </c>
      <c r="B13" s="13"/>
      <c r="C13" s="13"/>
      <c r="D13" s="13"/>
      <c r="E13" s="13"/>
      <c r="F13" s="13"/>
      <c r="G13" s="13"/>
    </row>
    <row r="14" spans="1:10" x14ac:dyDescent="0.25">
      <c r="A14" s="2" t="s">
        <v>184</v>
      </c>
    </row>
    <row r="16" spans="1:10" x14ac:dyDescent="0.25">
      <c r="A16" s="2" t="s">
        <v>13</v>
      </c>
    </row>
    <row r="17" spans="1:9" x14ac:dyDescent="0.25">
      <c r="A17" s="2" t="s">
        <v>214</v>
      </c>
    </row>
    <row r="18" spans="1:9" x14ac:dyDescent="0.25">
      <c r="A18" s="54" t="s">
        <v>131</v>
      </c>
    </row>
    <row r="20" spans="1:9" x14ac:dyDescent="0.25">
      <c r="A20" s="471" t="s">
        <v>145</v>
      </c>
      <c r="B20" s="471"/>
      <c r="C20" s="471"/>
      <c r="D20" s="471"/>
      <c r="E20" s="471"/>
      <c r="F20" s="471"/>
      <c r="G20" s="471"/>
      <c r="H20" s="471"/>
      <c r="I20" s="471"/>
    </row>
    <row r="21" spans="1:9" ht="15.75" thickBot="1" x14ac:dyDescent="0.3">
      <c r="A21" s="172"/>
      <c r="B21" s="3"/>
      <c r="C21" s="3"/>
      <c r="D21" s="3"/>
      <c r="E21" s="3"/>
      <c r="F21" s="3"/>
      <c r="G21" s="3" t="s">
        <v>134</v>
      </c>
      <c r="H21" s="3"/>
      <c r="I21" s="3"/>
    </row>
    <row r="22" spans="1:9" x14ac:dyDescent="0.25">
      <c r="A22" s="198" t="s">
        <v>110</v>
      </c>
      <c r="B22" s="193">
        <v>-446.44799999999998</v>
      </c>
      <c r="C22" s="194" t="s">
        <v>21</v>
      </c>
      <c r="D22" s="3"/>
      <c r="E22" s="3"/>
      <c r="F22" s="3"/>
      <c r="G22" s="3"/>
      <c r="H22" s="202">
        <v>-446.44799999999998</v>
      </c>
      <c r="I22" s="3"/>
    </row>
    <row r="23" spans="1:9" x14ac:dyDescent="0.25">
      <c r="A23" s="199" t="s">
        <v>111</v>
      </c>
      <c r="B23" s="173">
        <v>125.157</v>
      </c>
      <c r="C23" s="195" t="s">
        <v>21</v>
      </c>
      <c r="D23" s="3"/>
      <c r="E23" s="3"/>
      <c r="F23" s="3"/>
      <c r="G23" s="3"/>
      <c r="H23" s="202">
        <v>125.157</v>
      </c>
      <c r="I23" s="3"/>
    </row>
    <row r="24" spans="1:9" x14ac:dyDescent="0.25">
      <c r="A24" s="199" t="s">
        <v>112</v>
      </c>
      <c r="B24" s="191">
        <v>-542.05999999999995</v>
      </c>
      <c r="C24" s="195" t="s">
        <v>21</v>
      </c>
      <c r="D24" s="3"/>
      <c r="E24" s="3"/>
      <c r="F24" s="3"/>
      <c r="G24" s="3"/>
      <c r="H24" s="202">
        <v>-542.05999999999995</v>
      </c>
      <c r="I24" s="3"/>
    </row>
    <row r="25" spans="1:9" x14ac:dyDescent="0.25">
      <c r="A25" s="199" t="s">
        <v>113</v>
      </c>
      <c r="B25" s="173">
        <v>20.4894</v>
      </c>
      <c r="C25" s="195" t="s">
        <v>114</v>
      </c>
      <c r="D25" s="3"/>
      <c r="E25" s="3"/>
      <c r="F25" s="3"/>
      <c r="G25" s="3"/>
      <c r="H25" s="201">
        <v>20.4894</v>
      </c>
      <c r="I25" s="3"/>
    </row>
    <row r="26" spans="1:9" x14ac:dyDescent="0.25">
      <c r="A26" s="199" t="s">
        <v>115</v>
      </c>
      <c r="B26" s="173">
        <v>-0.1502</v>
      </c>
      <c r="C26" s="195" t="s">
        <v>116</v>
      </c>
      <c r="D26" s="3"/>
      <c r="E26" s="3"/>
      <c r="F26" s="3"/>
      <c r="G26" s="3"/>
      <c r="H26" s="201">
        <v>-0.1502</v>
      </c>
      <c r="I26" s="3"/>
    </row>
    <row r="27" spans="1:9" x14ac:dyDescent="0.25">
      <c r="A27" s="199" t="s">
        <v>117</v>
      </c>
      <c r="B27" s="192">
        <v>-0.247</v>
      </c>
      <c r="C27" s="195" t="s">
        <v>116</v>
      </c>
      <c r="D27" s="3"/>
      <c r="E27" s="3"/>
      <c r="F27" s="3"/>
      <c r="G27" s="3"/>
      <c r="H27" s="201">
        <v>-0.247</v>
      </c>
      <c r="I27" s="3"/>
    </row>
    <row r="28" spans="1:9" ht="15.75" thickBot="1" x14ac:dyDescent="0.3">
      <c r="A28" s="200" t="s">
        <v>118</v>
      </c>
      <c r="B28" s="196">
        <v>-0.84209999999999996</v>
      </c>
      <c r="C28" s="197" t="s">
        <v>116</v>
      </c>
      <c r="D28" s="3"/>
      <c r="E28" s="3"/>
      <c r="F28" s="3"/>
      <c r="G28" s="3"/>
      <c r="H28" s="201">
        <v>-0.84209999999999996</v>
      </c>
      <c r="I28" s="3"/>
    </row>
    <row r="29" spans="1:9" x14ac:dyDescent="0.25">
      <c r="A29" s="3"/>
      <c r="B29" s="3"/>
      <c r="C29" s="3"/>
      <c r="D29" s="3"/>
      <c r="E29" s="203" t="s">
        <v>135</v>
      </c>
      <c r="F29" s="3"/>
      <c r="G29" s="3"/>
      <c r="H29" s="3"/>
      <c r="I29" s="3"/>
    </row>
    <row r="31" spans="1:9" x14ac:dyDescent="0.25">
      <c r="A31" s="55" t="s">
        <v>133</v>
      </c>
    </row>
    <row r="32" spans="1:9" x14ac:dyDescent="0.25">
      <c r="A32" s="2" t="s">
        <v>119</v>
      </c>
    </row>
    <row r="33" spans="1:1" x14ac:dyDescent="0.25">
      <c r="A33" s="2" t="s">
        <v>120</v>
      </c>
    </row>
    <row r="34" spans="1:1" x14ac:dyDescent="0.25">
      <c r="A34" s="2" t="s">
        <v>121</v>
      </c>
    </row>
    <row r="35" spans="1:1" x14ac:dyDescent="0.25">
      <c r="A35" s="2" t="s">
        <v>122</v>
      </c>
    </row>
    <row r="36" spans="1:1" x14ac:dyDescent="0.25">
      <c r="A36" s="2" t="s">
        <v>123</v>
      </c>
    </row>
    <row r="37" spans="1:1" x14ac:dyDescent="0.25">
      <c r="A37" s="2" t="s">
        <v>124</v>
      </c>
    </row>
    <row r="38" spans="1:1" x14ac:dyDescent="0.25">
      <c r="A38" s="2" t="s">
        <v>125</v>
      </c>
    </row>
    <row r="39" spans="1:1" x14ac:dyDescent="0.25">
      <c r="A39" s="2" t="s">
        <v>148</v>
      </c>
    </row>
    <row r="41" spans="1:1" x14ac:dyDescent="0.25">
      <c r="A41" s="2" t="s">
        <v>126</v>
      </c>
    </row>
    <row r="44" spans="1:1" x14ac:dyDescent="0.25">
      <c r="A44" s="2" t="s">
        <v>127</v>
      </c>
    </row>
    <row r="45" spans="1:1" x14ac:dyDescent="0.25">
      <c r="A45" s="2" t="s">
        <v>128</v>
      </c>
    </row>
    <row r="46" spans="1:1" x14ac:dyDescent="0.25">
      <c r="A46" s="2" t="s">
        <v>129</v>
      </c>
    </row>
    <row r="47" spans="1:1" x14ac:dyDescent="0.25">
      <c r="A47" s="2" t="s">
        <v>130</v>
      </c>
    </row>
  </sheetData>
  <sheetProtection sheet="1" objects="1" scenarios="1"/>
  <mergeCells count="3">
    <mergeCell ref="A1:I1"/>
    <mergeCell ref="A20:I20"/>
    <mergeCell ref="I9:J10"/>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1"/>
  <sheetViews>
    <sheetView workbookViewId="0">
      <selection activeCell="E5" sqref="E5"/>
    </sheetView>
  </sheetViews>
  <sheetFormatPr defaultRowHeight="15" x14ac:dyDescent="0.25"/>
  <cols>
    <col min="1" max="1" width="17.7109375" style="2" customWidth="1"/>
    <col min="2" max="2" width="3.42578125" style="2" customWidth="1"/>
    <col min="3" max="3" width="4.5703125" style="2" customWidth="1"/>
    <col min="4" max="4" width="3.5703125" style="2" customWidth="1"/>
    <col min="5" max="5" width="14.85546875" style="2" customWidth="1"/>
    <col min="6" max="6" width="16" style="2" customWidth="1"/>
    <col min="7" max="7" width="13.140625" style="2" customWidth="1"/>
    <col min="8" max="16384" width="9.140625" style="2"/>
  </cols>
  <sheetData>
    <row r="1" spans="1:10" x14ac:dyDescent="0.25">
      <c r="A1" s="471" t="s">
        <v>14</v>
      </c>
      <c r="B1" s="471"/>
      <c r="C1" s="471"/>
      <c r="D1" s="471"/>
      <c r="E1" s="471"/>
      <c r="F1" s="471"/>
      <c r="G1" s="471"/>
      <c r="H1" s="471"/>
    </row>
    <row r="3" spans="1:10" x14ac:dyDescent="0.25">
      <c r="A3" s="23"/>
      <c r="B3" s="23"/>
      <c r="C3" s="23"/>
      <c r="D3" s="23"/>
      <c r="E3" s="23"/>
      <c r="F3" s="25"/>
      <c r="G3" s="26"/>
      <c r="H3" s="3"/>
      <c r="J3" s="22"/>
    </row>
    <row r="4" spans="1:10" ht="15.75" thickBot="1" x14ac:dyDescent="0.3">
      <c r="A4" s="3"/>
      <c r="B4" s="3"/>
      <c r="C4" s="21" t="s">
        <v>1</v>
      </c>
      <c r="D4" s="27" t="s">
        <v>2</v>
      </c>
      <c r="E4" s="21" t="s">
        <v>3</v>
      </c>
      <c r="F4" s="21" t="s">
        <v>15</v>
      </c>
      <c r="G4" s="21" t="s">
        <v>16</v>
      </c>
      <c r="H4" s="3"/>
    </row>
    <row r="5" spans="1:10" x14ac:dyDescent="0.25">
      <c r="A5" s="56" t="s">
        <v>17</v>
      </c>
      <c r="B5" s="186" t="s">
        <v>6</v>
      </c>
      <c r="C5" s="179">
        <v>52</v>
      </c>
      <c r="D5" s="180">
        <v>39</v>
      </c>
      <c r="E5" s="187">
        <v>16.152177459639301</v>
      </c>
      <c r="F5" s="28">
        <f>IF(UPPER(B5)="S",((((E5/60)+D5)/60)+C5)*-1,((((E5/60)+D5)/60)+C5))</f>
        <v>52.654486715961013</v>
      </c>
      <c r="G5" s="29">
        <f>RADIANS(F5)</f>
        <v>0.91899415914113602</v>
      </c>
      <c r="H5" s="3"/>
      <c r="I5" s="55" t="s">
        <v>18</v>
      </c>
    </row>
    <row r="6" spans="1:10" ht="15.75" thickBot="1" x14ac:dyDescent="0.3">
      <c r="A6" s="57" t="s">
        <v>19</v>
      </c>
      <c r="B6" s="188" t="s">
        <v>88</v>
      </c>
      <c r="C6" s="183">
        <v>1</v>
      </c>
      <c r="D6" s="184">
        <v>43</v>
      </c>
      <c r="E6" s="189">
        <v>73.852177459639293</v>
      </c>
      <c r="F6" s="100">
        <f>IF(UPPER(B6)="W",((((E6/60)+D6)/60)+C6)*-1,((((E6/60)+D6)/60)+C6))</f>
        <v>1.7371811604054552</v>
      </c>
      <c r="G6" s="29">
        <f>RADIANS(F6)</f>
        <v>3.0319530952690944E-2</v>
      </c>
      <c r="H6" s="3"/>
    </row>
    <row r="7" spans="1:10" ht="15.75" thickBot="1" x14ac:dyDescent="0.3">
      <c r="A7" s="120" t="s">
        <v>93</v>
      </c>
      <c r="B7" s="121"/>
      <c r="C7" s="122"/>
      <c r="D7" s="123"/>
      <c r="E7" s="190">
        <v>24.7</v>
      </c>
      <c r="F7" s="99" t="s">
        <v>21</v>
      </c>
      <c r="G7" s="4"/>
      <c r="H7" s="3"/>
      <c r="I7" s="128" t="s">
        <v>96</v>
      </c>
    </row>
    <row r="8" spans="1:10" x14ac:dyDescent="0.25">
      <c r="A8" s="115" t="s">
        <v>20</v>
      </c>
      <c r="B8" s="101"/>
      <c r="C8" s="102"/>
      <c r="D8" s="103"/>
      <c r="E8" s="222">
        <v>651409.90300000005</v>
      </c>
      <c r="F8" s="99" t="s">
        <v>21</v>
      </c>
      <c r="G8" s="4"/>
      <c r="H8" s="4"/>
      <c r="I8" s="55" t="s">
        <v>22</v>
      </c>
    </row>
    <row r="9" spans="1:10" ht="15.75" thickBot="1" x14ac:dyDescent="0.3">
      <c r="A9" s="116" t="s">
        <v>23</v>
      </c>
      <c r="B9" s="104"/>
      <c r="C9" s="105"/>
      <c r="D9" s="106"/>
      <c r="E9" s="223">
        <v>313177.27</v>
      </c>
      <c r="F9" s="99" t="s">
        <v>21</v>
      </c>
      <c r="G9" s="4"/>
      <c r="H9" s="4"/>
    </row>
    <row r="10" spans="1:10" x14ac:dyDescent="0.25">
      <c r="A10" s="117" t="s">
        <v>24</v>
      </c>
      <c r="B10" s="104"/>
      <c r="C10" s="105"/>
      <c r="D10" s="106"/>
      <c r="E10" s="222">
        <v>626238.24899999995</v>
      </c>
      <c r="F10" s="99" t="s">
        <v>21</v>
      </c>
      <c r="G10" s="4"/>
      <c r="H10" s="4"/>
      <c r="I10" s="128" t="s">
        <v>98</v>
      </c>
    </row>
    <row r="11" spans="1:10" ht="15.75" thickBot="1" x14ac:dyDescent="0.3">
      <c r="A11" s="120" t="s">
        <v>25</v>
      </c>
      <c r="B11" s="107"/>
      <c r="C11" s="108"/>
      <c r="D11" s="109"/>
      <c r="E11" s="224">
        <v>302646.41499999998</v>
      </c>
      <c r="F11" s="99" t="s">
        <v>21</v>
      </c>
      <c r="G11" s="4"/>
      <c r="H11" s="4"/>
    </row>
    <row r="12" spans="1:10" x14ac:dyDescent="0.25">
      <c r="A12" s="56" t="s">
        <v>90</v>
      </c>
      <c r="B12" s="124"/>
      <c r="C12" s="102"/>
      <c r="D12" s="118"/>
      <c r="E12" s="225">
        <v>3909833.0180000002</v>
      </c>
      <c r="F12" s="99" t="s">
        <v>21</v>
      </c>
      <c r="G12" s="4"/>
      <c r="H12" s="4"/>
      <c r="I12" s="55" t="s">
        <v>97</v>
      </c>
    </row>
    <row r="13" spans="1:10" x14ac:dyDescent="0.25">
      <c r="A13" s="126" t="s">
        <v>91</v>
      </c>
      <c r="B13" s="113"/>
      <c r="C13" s="105"/>
      <c r="D13" s="114"/>
      <c r="E13" s="226">
        <v>-147097.13759999999</v>
      </c>
      <c r="F13" s="99" t="s">
        <v>21</v>
      </c>
      <c r="G13" s="4"/>
      <c r="H13" s="4"/>
    </row>
    <row r="14" spans="1:10" ht="15.75" thickBot="1" x14ac:dyDescent="0.3">
      <c r="A14" s="127" t="s">
        <v>92</v>
      </c>
      <c r="B14" s="125"/>
      <c r="C14" s="108"/>
      <c r="D14" s="119"/>
      <c r="E14" s="227">
        <v>5020322.4776999997</v>
      </c>
      <c r="F14" s="99" t="s">
        <v>21</v>
      </c>
      <c r="G14" s="4"/>
      <c r="H14" s="4"/>
    </row>
    <row r="16" spans="1:10" x14ac:dyDescent="0.25">
      <c r="A16" s="55" t="s">
        <v>11</v>
      </c>
    </row>
    <row r="17" spans="1:1" x14ac:dyDescent="0.25">
      <c r="A17" s="2" t="s">
        <v>26</v>
      </c>
    </row>
    <row r="18" spans="1:1" x14ac:dyDescent="0.25">
      <c r="A18" s="2" t="s">
        <v>95</v>
      </c>
    </row>
    <row r="19" spans="1:1" x14ac:dyDescent="0.25">
      <c r="A19" s="2" t="s">
        <v>226</v>
      </c>
    </row>
    <row r="20" spans="1:1" x14ac:dyDescent="0.25">
      <c r="A20" s="2" t="s">
        <v>227</v>
      </c>
    </row>
    <row r="21" spans="1:1" x14ac:dyDescent="0.25">
      <c r="A21" s="2" t="s">
        <v>94</v>
      </c>
    </row>
    <row r="22" spans="1:1" x14ac:dyDescent="0.25">
      <c r="A22" s="2" t="s">
        <v>146</v>
      </c>
    </row>
    <row r="23" spans="1:1" x14ac:dyDescent="0.25">
      <c r="A23" s="2" t="s">
        <v>136</v>
      </c>
    </row>
    <row r="25" spans="1:1" x14ac:dyDescent="0.25">
      <c r="A25" s="2" t="s">
        <v>230</v>
      </c>
    </row>
    <row r="27" spans="1:1" x14ac:dyDescent="0.25">
      <c r="A27" s="2" t="s">
        <v>228</v>
      </c>
    </row>
    <row r="28" spans="1:1" x14ac:dyDescent="0.25">
      <c r="A28" s="22" t="s">
        <v>27</v>
      </c>
    </row>
    <row r="30" spans="1:1" x14ac:dyDescent="0.25">
      <c r="A30" s="2" t="s">
        <v>229</v>
      </c>
    </row>
    <row r="31" spans="1:1" x14ac:dyDescent="0.25">
      <c r="A31" s="2" t="s">
        <v>137</v>
      </c>
    </row>
  </sheetData>
  <sheetProtection sheet="1" objects="1" scenarios="1"/>
  <mergeCells count="1">
    <mergeCell ref="A1:H1"/>
  </mergeCells>
  <phoneticPr fontId="0" type="noConversion"/>
  <printOptions gridLines="1" gridLinesSet="0"/>
  <pageMargins left="0.75" right="0.75" top="1" bottom="1" header="0.5" footer="0.5"/>
  <pageSetup paperSize="9" orientation="portrait" horizontalDpi="4294967292" verticalDpi="300"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19"/>
  <sheetViews>
    <sheetView workbookViewId="0">
      <selection activeCell="F17" sqref="F17"/>
    </sheetView>
  </sheetViews>
  <sheetFormatPr defaultRowHeight="15" x14ac:dyDescent="0.2"/>
  <cols>
    <col min="1" max="1" width="14.85546875" style="236" customWidth="1"/>
    <col min="2" max="2" width="2.5703125" style="236" bestFit="1" customWidth="1"/>
    <col min="3" max="3" width="12.28515625" style="236" customWidth="1"/>
    <col min="4" max="4" width="12.140625" style="236" customWidth="1"/>
    <col min="5" max="5" width="14.85546875" style="236" customWidth="1"/>
    <col min="6" max="6" width="25" style="236" customWidth="1"/>
    <col min="7" max="7" width="4.7109375" style="236" customWidth="1"/>
    <col min="8" max="8" width="3.5703125" style="236" customWidth="1"/>
    <col min="9" max="9" width="20.42578125" style="236" customWidth="1"/>
    <col min="10" max="16384" width="9.140625" style="236"/>
  </cols>
  <sheetData>
    <row r="1" spans="1:10" x14ac:dyDescent="0.2">
      <c r="A1" s="485" t="s">
        <v>222</v>
      </c>
      <c r="B1" s="485"/>
      <c r="C1" s="485"/>
      <c r="D1" s="485"/>
      <c r="E1" s="485"/>
      <c r="F1" s="485"/>
      <c r="G1" s="485"/>
      <c r="H1" s="485"/>
      <c r="I1" s="485"/>
    </row>
    <row r="2" spans="1:10" s="330" customFormat="1" x14ac:dyDescent="0.2">
      <c r="A2" s="329"/>
      <c r="B2" s="329"/>
      <c r="C2" s="329"/>
      <c r="D2" s="329"/>
      <c r="E2" s="329"/>
      <c r="F2" s="329"/>
      <c r="G2" s="329"/>
      <c r="H2" s="329"/>
      <c r="I2" s="329"/>
    </row>
    <row r="3" spans="1:10" s="317" customFormat="1" ht="15.75" thickBot="1" x14ac:dyDescent="0.25">
      <c r="A3" s="486" t="s">
        <v>224</v>
      </c>
      <c r="B3" s="486"/>
      <c r="C3" s="486"/>
      <c r="D3" s="486"/>
      <c r="E3" s="486"/>
      <c r="F3" s="486"/>
      <c r="G3" s="486"/>
      <c r="H3" s="486"/>
      <c r="I3" s="486"/>
    </row>
    <row r="4" spans="1:10" ht="15.75" thickBot="1" x14ac:dyDescent="0.25">
      <c r="A4" s="476" t="s">
        <v>220</v>
      </c>
      <c r="B4" s="477"/>
      <c r="C4" s="477"/>
      <c r="D4" s="477"/>
      <c r="E4" s="478"/>
      <c r="F4" s="479" t="s">
        <v>221</v>
      </c>
      <c r="G4" s="480"/>
      <c r="H4" s="480"/>
      <c r="I4" s="481"/>
    </row>
    <row r="5" spans="1:10" x14ac:dyDescent="0.2">
      <c r="A5" s="331"/>
      <c r="B5" s="332"/>
      <c r="C5" s="436" t="s">
        <v>217</v>
      </c>
      <c r="D5" s="436" t="s">
        <v>219</v>
      </c>
      <c r="E5" s="437" t="s">
        <v>218</v>
      </c>
      <c r="F5" s="333" t="s">
        <v>216</v>
      </c>
      <c r="G5" s="482" t="s">
        <v>215</v>
      </c>
      <c r="H5" s="483"/>
      <c r="I5" s="484"/>
      <c r="J5" s="334"/>
    </row>
    <row r="6" spans="1:10" x14ac:dyDescent="0.2">
      <c r="A6" s="335" t="s">
        <v>17</v>
      </c>
      <c r="B6" s="336" t="s">
        <v>6</v>
      </c>
      <c r="C6" s="337">
        <v>52</v>
      </c>
      <c r="D6" s="338">
        <v>39</v>
      </c>
      <c r="E6" s="339">
        <v>27.2531</v>
      </c>
      <c r="F6" s="340">
        <f>IF(UPPER(B6)="S",((((E6/60)+D6)/60)+C6)*-1,((((E6/60)+D6)/60)+C6))</f>
        <v>52.657570305555552</v>
      </c>
      <c r="G6" s="428" t="str">
        <f>UPPER(B6)</f>
        <v>N</v>
      </c>
      <c r="H6" s="424">
        <f>C6</f>
        <v>52</v>
      </c>
      <c r="I6" s="341">
        <f>D6+(E6/60)</f>
        <v>39.45421833333333</v>
      </c>
      <c r="J6" s="324"/>
    </row>
    <row r="7" spans="1:10" ht="15.75" thickBot="1" x14ac:dyDescent="0.25">
      <c r="A7" s="342" t="s">
        <v>19</v>
      </c>
      <c r="B7" s="343" t="s">
        <v>88</v>
      </c>
      <c r="C7" s="344">
        <v>1</v>
      </c>
      <c r="D7" s="345">
        <v>43</v>
      </c>
      <c r="E7" s="346">
        <v>4.5176999999999996</v>
      </c>
      <c r="F7" s="347">
        <f>IF(UPPER(B7)="W",((((E7/60)+D7)/60)+C7)*-1,((((E7/60)+D7)/60)+C7))</f>
        <v>1.7179215833333332</v>
      </c>
      <c r="G7" s="429" t="str">
        <f>UPPER(B7)</f>
        <v>E</v>
      </c>
      <c r="H7" s="425">
        <f>C7</f>
        <v>1</v>
      </c>
      <c r="I7" s="348">
        <f>D7+(E7/60)</f>
        <v>43.075294999999997</v>
      </c>
      <c r="J7" s="324"/>
    </row>
    <row r="8" spans="1:10" s="349" customFormat="1" x14ac:dyDescent="0.2">
      <c r="A8" s="318"/>
      <c r="B8" s="318"/>
      <c r="C8" s="319"/>
      <c r="D8" s="319"/>
      <c r="E8" s="320"/>
      <c r="F8" s="321"/>
      <c r="G8" s="321"/>
      <c r="H8" s="322"/>
      <c r="I8" s="323"/>
      <c r="J8" s="324"/>
    </row>
    <row r="9" spans="1:10" ht="15.75" thickBot="1" x14ac:dyDescent="0.25">
      <c r="A9" s="486" t="s">
        <v>223</v>
      </c>
      <c r="B9" s="486"/>
      <c r="C9" s="486"/>
      <c r="D9" s="486"/>
      <c r="E9" s="486"/>
      <c r="F9" s="486"/>
      <c r="G9" s="486"/>
      <c r="H9" s="486"/>
      <c r="I9" s="486"/>
      <c r="J9" s="324"/>
    </row>
    <row r="10" spans="1:10" s="315" customFormat="1" thickBot="1" x14ac:dyDescent="0.25">
      <c r="A10" s="479" t="s">
        <v>221</v>
      </c>
      <c r="B10" s="480"/>
      <c r="C10" s="480"/>
      <c r="D10" s="480"/>
      <c r="E10" s="481"/>
      <c r="F10" s="316" t="s">
        <v>220</v>
      </c>
      <c r="G10" s="479" t="s">
        <v>221</v>
      </c>
      <c r="H10" s="480"/>
      <c r="I10" s="481"/>
    </row>
    <row r="11" spans="1:10" x14ac:dyDescent="0.2">
      <c r="A11" s="350"/>
      <c r="B11" s="351"/>
      <c r="C11" s="434" t="s">
        <v>217</v>
      </c>
      <c r="D11" s="434" t="s">
        <v>219</v>
      </c>
      <c r="E11" s="435" t="s">
        <v>218</v>
      </c>
      <c r="F11" s="352" t="s">
        <v>216</v>
      </c>
      <c r="G11" s="482" t="s">
        <v>215</v>
      </c>
      <c r="H11" s="483"/>
      <c r="I11" s="484"/>
    </row>
    <row r="12" spans="1:10" x14ac:dyDescent="0.2">
      <c r="A12" s="353" t="s">
        <v>17</v>
      </c>
      <c r="B12" s="354" t="str">
        <f>IF(F12&gt;0,"N","S")</f>
        <v>N</v>
      </c>
      <c r="C12" s="355">
        <f>ABS(TRUNC(F12))</f>
        <v>52</v>
      </c>
      <c r="D12" s="356">
        <f>TRUNC((ABS(F12)-C12)*60)</f>
        <v>39</v>
      </c>
      <c r="E12" s="357">
        <f>((ABS(F12))*3600)-(D12*60)-(C12*3600)</f>
        <v>27.253100000001723</v>
      </c>
      <c r="F12" s="358">
        <v>52.657570305555552</v>
      </c>
      <c r="G12" s="430" t="str">
        <f>IF(F12&lt;0,"S","N")</f>
        <v>N</v>
      </c>
      <c r="H12" s="424">
        <f>ABS(TRUNC(F12))</f>
        <v>52</v>
      </c>
      <c r="I12" s="341">
        <f>ABS(F12-(TRUNC(F12)))*60</f>
        <v>39.454218333333131</v>
      </c>
    </row>
    <row r="13" spans="1:10" ht="15.75" thickBot="1" x14ac:dyDescent="0.25">
      <c r="A13" s="359" t="s">
        <v>19</v>
      </c>
      <c r="B13" s="360" t="str">
        <f>IF(F13&lt;0,"W","E")</f>
        <v>E</v>
      </c>
      <c r="C13" s="361">
        <f>ABS(TRUNC(F13))</f>
        <v>1</v>
      </c>
      <c r="D13" s="362">
        <f>TRUNC((ABS(F13)-C13)*60)</f>
        <v>43</v>
      </c>
      <c r="E13" s="363">
        <f>((ABS(F13))*3600)-(D13*60)-(C13*3600)</f>
        <v>4.5176999999994223</v>
      </c>
      <c r="F13" s="364">
        <v>1.7179215833333332</v>
      </c>
      <c r="G13" s="431" t="str">
        <f>IF(F13&lt;0,"W","E")</f>
        <v>E</v>
      </c>
      <c r="H13" s="425">
        <f>ABS(TRUNC(F13))</f>
        <v>1</v>
      </c>
      <c r="I13" s="348">
        <f>ABS(F13-(TRUNC(F13)))*60</f>
        <v>43.075294999999997</v>
      </c>
    </row>
    <row r="14" spans="1:10" s="349" customFormat="1" x14ac:dyDescent="0.2">
      <c r="A14" s="325"/>
      <c r="B14" s="325"/>
      <c r="C14" s="326"/>
      <c r="D14" s="326"/>
      <c r="E14" s="327"/>
      <c r="F14" s="328"/>
      <c r="G14" s="328"/>
      <c r="H14" s="322"/>
      <c r="I14" s="323"/>
    </row>
    <row r="15" spans="1:10" ht="15.75" thickBot="1" x14ac:dyDescent="0.25">
      <c r="A15" s="486" t="s">
        <v>225</v>
      </c>
      <c r="B15" s="486"/>
      <c r="C15" s="486"/>
      <c r="D15" s="486"/>
      <c r="E15" s="486"/>
      <c r="F15" s="486"/>
      <c r="G15" s="486"/>
      <c r="H15" s="486"/>
      <c r="I15" s="486"/>
    </row>
    <row r="16" spans="1:10" s="315" customFormat="1" ht="15" customHeight="1" thickBot="1" x14ac:dyDescent="0.25">
      <c r="A16" s="479" t="s">
        <v>221</v>
      </c>
      <c r="B16" s="480"/>
      <c r="C16" s="480"/>
      <c r="D16" s="480"/>
      <c r="E16" s="480"/>
      <c r="F16" s="481"/>
      <c r="G16" s="423"/>
      <c r="H16" s="487" t="s">
        <v>220</v>
      </c>
      <c r="I16" s="488"/>
    </row>
    <row r="17" spans="1:9" x14ac:dyDescent="0.2">
      <c r="A17" s="365"/>
      <c r="B17" s="366"/>
      <c r="C17" s="434" t="s">
        <v>217</v>
      </c>
      <c r="D17" s="434" t="s">
        <v>219</v>
      </c>
      <c r="E17" s="435" t="s">
        <v>218</v>
      </c>
      <c r="F17" s="367" t="s">
        <v>216</v>
      </c>
      <c r="G17" s="473" t="s">
        <v>215</v>
      </c>
      <c r="H17" s="474"/>
      <c r="I17" s="475"/>
    </row>
    <row r="18" spans="1:9" x14ac:dyDescent="0.2">
      <c r="A18" s="353" t="s">
        <v>17</v>
      </c>
      <c r="B18" s="433" t="str">
        <f>UPPER(G18)</f>
        <v>N</v>
      </c>
      <c r="C18" s="355">
        <f>ABS(H18)</f>
        <v>52</v>
      </c>
      <c r="D18" s="356">
        <f>ABS(TRUNC(I18))</f>
        <v>39</v>
      </c>
      <c r="E18" s="357">
        <f>(ABS(I18)-D18)*60</f>
        <v>27.253099999987853</v>
      </c>
      <c r="F18" s="368">
        <f>IF(UPPER(G18)="S",(H18+(I18/60))*-1,(H18+(I18/60)))</f>
        <v>52.657570305555552</v>
      </c>
      <c r="G18" s="438" t="s">
        <v>6</v>
      </c>
      <c r="H18" s="426">
        <v>52</v>
      </c>
      <c r="I18" s="369">
        <v>39.454218333333131</v>
      </c>
    </row>
    <row r="19" spans="1:9" ht="15.75" thickBot="1" x14ac:dyDescent="0.25">
      <c r="A19" s="359" t="s">
        <v>19</v>
      </c>
      <c r="B19" s="432" t="str">
        <f>UPPER(G19)</f>
        <v>E</v>
      </c>
      <c r="C19" s="361">
        <f>ABS(H19)</f>
        <v>1</v>
      </c>
      <c r="D19" s="362">
        <f>ABS(TRUNC(I19))</f>
        <v>43</v>
      </c>
      <c r="E19" s="363">
        <f>(ABS(I19)-D19)*60</f>
        <v>4.5176999999998202</v>
      </c>
      <c r="F19" s="287">
        <f>IF(UPPER(G19)="W",(H19+(I19/60))*-1,(H19+(I19/60)))</f>
        <v>1.7179215833333332</v>
      </c>
      <c r="G19" s="439" t="s">
        <v>88</v>
      </c>
      <c r="H19" s="427">
        <v>1</v>
      </c>
      <c r="I19" s="370">
        <v>43.075294999999997</v>
      </c>
    </row>
  </sheetData>
  <sheetProtection sheet="1" objects="1" scenarios="1"/>
  <mergeCells count="13">
    <mergeCell ref="A1:I1"/>
    <mergeCell ref="A3:I3"/>
    <mergeCell ref="G5:I5"/>
    <mergeCell ref="A9:I9"/>
    <mergeCell ref="A15:I15"/>
    <mergeCell ref="H16:I16"/>
    <mergeCell ref="G17:I17"/>
    <mergeCell ref="A4:E4"/>
    <mergeCell ref="A10:E10"/>
    <mergeCell ref="A16:F16"/>
    <mergeCell ref="F4:I4"/>
    <mergeCell ref="G10:I10"/>
    <mergeCell ref="G11:I11"/>
  </mergeCells>
  <phoneticPr fontId="0" type="noConversion"/>
  <pageMargins left="0.75" right="0.75" top="1" bottom="1"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7"/>
  <sheetViews>
    <sheetView workbookViewId="0">
      <selection sqref="A1:E1"/>
    </sheetView>
  </sheetViews>
  <sheetFormatPr defaultRowHeight="12.75" x14ac:dyDescent="0.2"/>
  <cols>
    <col min="1" max="1" width="16" style="149" customWidth="1"/>
    <col min="2" max="2" width="16.5703125" style="149" customWidth="1"/>
    <col min="3" max="3" width="20.42578125" style="149" bestFit="1" customWidth="1"/>
    <col min="4" max="4" width="9.28515625" style="149" bestFit="1" customWidth="1"/>
    <col min="5" max="5" width="9.140625" style="149"/>
    <col min="6" max="7" width="9.140625" style="154"/>
    <col min="8" max="16384" width="9.140625" style="149"/>
  </cols>
  <sheetData>
    <row r="1" spans="1:8" s="2" customFormat="1" ht="15" x14ac:dyDescent="0.25">
      <c r="A1" s="471" t="s">
        <v>138</v>
      </c>
      <c r="B1" s="471"/>
      <c r="C1" s="471"/>
      <c r="D1" s="471"/>
      <c r="E1" s="471"/>
      <c r="F1" s="152"/>
      <c r="G1" s="152"/>
      <c r="H1" s="142"/>
    </row>
    <row r="2" spans="1:8" s="2" customFormat="1" ht="15.75" thickBot="1" x14ac:dyDescent="0.3">
      <c r="F2" s="20"/>
      <c r="G2" s="20"/>
    </row>
    <row r="3" spans="1:8" s="2" customFormat="1" ht="15" customHeight="1" x14ac:dyDescent="0.25">
      <c r="A3" s="64" t="s">
        <v>54</v>
      </c>
      <c r="B3" s="221">
        <f>CartesianX</f>
        <v>3909833.0180000002</v>
      </c>
      <c r="C3" s="129"/>
      <c r="D3" s="129"/>
      <c r="E3" s="130"/>
      <c r="F3" s="2" t="s">
        <v>29</v>
      </c>
      <c r="G3" s="20"/>
    </row>
    <row r="4" spans="1:8" s="2" customFormat="1" ht="15" customHeight="1" x14ac:dyDescent="0.25">
      <c r="A4" s="131" t="s">
        <v>100</v>
      </c>
      <c r="B4" s="131">
        <f>CartesianY</f>
        <v>-147097.13759999999</v>
      </c>
      <c r="C4" s="129"/>
      <c r="D4" s="129"/>
      <c r="E4" s="130"/>
      <c r="F4" s="20"/>
      <c r="G4" s="20"/>
    </row>
    <row r="5" spans="1:8" s="2" customFormat="1" ht="15" customHeight="1" thickBot="1" x14ac:dyDescent="0.3">
      <c r="A5" s="204" t="s">
        <v>101</v>
      </c>
      <c r="B5" s="204">
        <f>CartesianZ</f>
        <v>5020322.4776999997</v>
      </c>
      <c r="C5" s="129"/>
      <c r="D5" s="129"/>
      <c r="E5" s="130"/>
      <c r="F5" s="20"/>
      <c r="G5" s="20"/>
    </row>
    <row r="6" spans="1:8" s="2" customFormat="1" ht="15" x14ac:dyDescent="0.25">
      <c r="A6" s="71" t="s">
        <v>54</v>
      </c>
      <c r="B6" s="220">
        <f>DX+A20</f>
        <v>3909460.067806589</v>
      </c>
      <c r="C6" s="150"/>
      <c r="D6" s="150"/>
      <c r="E6" s="151"/>
      <c r="F6" s="2" t="s">
        <v>31</v>
      </c>
      <c r="G6" s="18"/>
    </row>
    <row r="7" spans="1:8" s="2" customFormat="1" ht="15" customHeight="1" x14ac:dyDescent="0.25">
      <c r="A7" s="134" t="s">
        <v>100</v>
      </c>
      <c r="B7" s="159">
        <f>DY+A21</f>
        <v>-146987.30112958825</v>
      </c>
      <c r="C7" s="150"/>
      <c r="D7" s="150"/>
      <c r="E7" s="151"/>
      <c r="F7" s="53"/>
      <c r="G7" s="19"/>
    </row>
    <row r="8" spans="1:8" s="2" customFormat="1" ht="15" customHeight="1" thickBot="1" x14ac:dyDescent="0.3">
      <c r="A8" s="135" t="s">
        <v>101</v>
      </c>
      <c r="B8" s="219">
        <f>DZ+A22</f>
        <v>5019888.0701951897</v>
      </c>
      <c r="C8" s="150"/>
      <c r="D8" s="150"/>
      <c r="E8" s="151"/>
      <c r="F8" s="153"/>
      <c r="G8" s="19"/>
      <c r="H8" s="20"/>
    </row>
    <row r="9" spans="1:8" s="44" customFormat="1" ht="15.75" thickBot="1" x14ac:dyDescent="0.3">
      <c r="A9" s="206" t="s">
        <v>139</v>
      </c>
      <c r="B9" s="145"/>
      <c r="C9" s="207"/>
      <c r="D9" s="207"/>
      <c r="E9" s="207"/>
      <c r="F9" s="2" t="s">
        <v>33</v>
      </c>
      <c r="G9" s="205"/>
    </row>
    <row r="10" spans="1:8" s="44" customFormat="1" ht="15" x14ac:dyDescent="0.25">
      <c r="A10" s="208">
        <f>1+Scale*0.000001</f>
        <v>1.0000204894</v>
      </c>
      <c r="B10" s="232">
        <f>-1*RADIANS(Z_Rotation/3600)</f>
        <v>4.082616008623402E-6</v>
      </c>
      <c r="C10" s="209">
        <f>RADIANS(Y_Rotation/3600)</f>
        <v>-1.1974897923405538E-6</v>
      </c>
      <c r="D10" s="51"/>
      <c r="E10" s="51"/>
      <c r="F10" s="2" t="s">
        <v>35</v>
      </c>
      <c r="G10" s="205"/>
    </row>
    <row r="11" spans="1:8" s="44" customFormat="1" ht="15" x14ac:dyDescent="0.25">
      <c r="A11" s="210">
        <f>RADIANS(Z_Rotation/3600)</f>
        <v>-4.082616008623402E-6</v>
      </c>
      <c r="B11" s="211">
        <f>1+Scale*0.000001</f>
        <v>1.0000204894</v>
      </c>
      <c r="C11" s="233">
        <f>-1*RADIANS(X_Rotation/3600)</f>
        <v>7.2819014902652306E-7</v>
      </c>
      <c r="D11" s="51"/>
      <c r="E11" s="51"/>
      <c r="F11" s="205"/>
      <c r="G11" s="205"/>
    </row>
    <row r="12" spans="1:8" s="44" customFormat="1" ht="15.75" thickBot="1" x14ac:dyDescent="0.3">
      <c r="A12" s="212">
        <f>-1*RADIANS(Y_Rotation/3600)</f>
        <v>1.1974897923405538E-6</v>
      </c>
      <c r="B12" s="213">
        <f>RADIANS(X_Rotation/3600)</f>
        <v>-7.2819014902652306E-7</v>
      </c>
      <c r="C12" s="214">
        <f>1+Scale*0.000001</f>
        <v>1.0000204894</v>
      </c>
      <c r="D12" s="51"/>
      <c r="E12" s="51"/>
      <c r="F12" s="301" t="s">
        <v>185</v>
      </c>
      <c r="G12" s="205"/>
    </row>
    <row r="13" spans="1:8" s="44" customFormat="1" ht="15.75" thickBot="1" x14ac:dyDescent="0.3">
      <c r="A13" s="51"/>
      <c r="B13" s="51"/>
      <c r="C13" s="51"/>
      <c r="D13" s="51"/>
      <c r="E13" s="51"/>
      <c r="F13" s="302" t="s">
        <v>186</v>
      </c>
      <c r="G13" s="205"/>
    </row>
    <row r="14" spans="1:8" s="44" customFormat="1" ht="15.75" thickBot="1" x14ac:dyDescent="0.3">
      <c r="A14" s="51" t="s">
        <v>140</v>
      </c>
      <c r="B14" s="51"/>
      <c r="C14" s="489" t="s">
        <v>153</v>
      </c>
      <c r="D14" s="490"/>
      <c r="E14" s="491"/>
      <c r="F14" s="302" t="s">
        <v>188</v>
      </c>
      <c r="G14" s="205"/>
    </row>
    <row r="15" spans="1:8" s="44" customFormat="1" ht="15" x14ac:dyDescent="0.25">
      <c r="A15" s="215">
        <f>DX</f>
        <v>-446.44799999999998</v>
      </c>
      <c r="B15" s="51"/>
      <c r="C15" s="228" t="s">
        <v>110</v>
      </c>
      <c r="D15" s="394">
        <f>DX</f>
        <v>-446.44799999999998</v>
      </c>
      <c r="E15" s="229" t="s">
        <v>30</v>
      </c>
      <c r="F15" s="302"/>
      <c r="G15" s="205"/>
    </row>
    <row r="16" spans="1:8" s="44" customFormat="1" ht="15" x14ac:dyDescent="0.25">
      <c r="A16" s="216">
        <f>DY</f>
        <v>125.157</v>
      </c>
      <c r="B16" s="51"/>
      <c r="C16" s="228" t="s">
        <v>111</v>
      </c>
      <c r="D16" s="394">
        <f>DY</f>
        <v>125.157</v>
      </c>
      <c r="E16" s="229" t="s">
        <v>30</v>
      </c>
      <c r="F16" s="205"/>
      <c r="G16" s="205"/>
    </row>
    <row r="17" spans="1:7" s="44" customFormat="1" ht="15.75" thickBot="1" x14ac:dyDescent="0.3">
      <c r="A17" s="217">
        <f>DZ</f>
        <v>-542.05999999999995</v>
      </c>
      <c r="B17" s="51"/>
      <c r="C17" s="228" t="s">
        <v>112</v>
      </c>
      <c r="D17" s="394">
        <f>DZ</f>
        <v>-542.05999999999995</v>
      </c>
      <c r="E17" s="229" t="s">
        <v>30</v>
      </c>
      <c r="F17" s="205"/>
      <c r="G17" s="205"/>
    </row>
    <row r="18" spans="1:7" s="44" customFormat="1" ht="15" x14ac:dyDescent="0.25">
      <c r="A18" s="51"/>
      <c r="B18" s="51"/>
      <c r="C18" s="228" t="s">
        <v>113</v>
      </c>
      <c r="D18" s="395">
        <f>Scale</f>
        <v>20.4894</v>
      </c>
      <c r="E18" s="229" t="s">
        <v>151</v>
      </c>
      <c r="F18" s="205"/>
      <c r="G18" s="205"/>
    </row>
    <row r="19" spans="1:7" s="44" customFormat="1" ht="15.75" thickBot="1" x14ac:dyDescent="0.3">
      <c r="A19" s="51" t="s">
        <v>141</v>
      </c>
      <c r="B19" s="51"/>
      <c r="C19" s="228" t="s">
        <v>115</v>
      </c>
      <c r="D19" s="395">
        <f>X_Rotation</f>
        <v>-0.1502</v>
      </c>
      <c r="E19" s="229" t="s">
        <v>152</v>
      </c>
      <c r="F19" s="205"/>
      <c r="G19" s="205"/>
    </row>
    <row r="20" spans="1:7" s="44" customFormat="1" ht="15" x14ac:dyDescent="0.25">
      <c r="A20" s="215">
        <f t="array" ref="A20:A22">MMULT(H_Matrix,B3:B5)</f>
        <v>3909906.5158065888</v>
      </c>
      <c r="B20" s="51"/>
      <c r="C20" s="228" t="s">
        <v>117</v>
      </c>
      <c r="D20" s="395">
        <f>Y_Rotation</f>
        <v>-0.247</v>
      </c>
      <c r="E20" s="229" t="s">
        <v>152</v>
      </c>
      <c r="F20" s="205"/>
      <c r="G20" s="205"/>
    </row>
    <row r="21" spans="1:7" s="44" customFormat="1" ht="15.75" thickBot="1" x14ac:dyDescent="0.3">
      <c r="A21" s="216">
        <v>-147112.45812958825</v>
      </c>
      <c r="B21" s="51"/>
      <c r="C21" s="230" t="s">
        <v>118</v>
      </c>
      <c r="D21" s="396">
        <f>Z_Rotation</f>
        <v>-0.84209999999999996</v>
      </c>
      <c r="E21" s="231" t="s">
        <v>152</v>
      </c>
      <c r="F21" s="205"/>
      <c r="G21" s="205"/>
    </row>
    <row r="22" spans="1:7" s="44" customFormat="1" ht="15.75" thickBot="1" x14ac:dyDescent="0.3">
      <c r="A22" s="217">
        <v>5020430.1301951893</v>
      </c>
      <c r="B22" s="51"/>
      <c r="C22" s="51"/>
      <c r="D22" s="51"/>
      <c r="E22" s="51"/>
      <c r="F22" s="205"/>
      <c r="G22" s="205"/>
    </row>
    <row r="23" spans="1:7" s="44" customFormat="1" ht="15.75" thickBot="1" x14ac:dyDescent="0.3">
      <c r="F23" s="205"/>
      <c r="G23" s="205"/>
    </row>
    <row r="24" spans="1:7" s="44" customFormat="1" ht="15" x14ac:dyDescent="0.25">
      <c r="A24" s="71" t="s">
        <v>54</v>
      </c>
      <c r="B24" s="220">
        <f>Helmert_X(CartesianX,CartesianY,CartesianZ,DX,Y_Rotation,Z_Rotation,Scale)</f>
        <v>3909460.067806589</v>
      </c>
      <c r="C24" s="150"/>
      <c r="D24" s="150"/>
      <c r="E24" s="151"/>
      <c r="F24" s="2" t="s">
        <v>106</v>
      </c>
      <c r="G24" s="205"/>
    </row>
    <row r="25" spans="1:7" s="44" customFormat="1" ht="15" x14ac:dyDescent="0.25">
      <c r="A25" s="134" t="s">
        <v>100</v>
      </c>
      <c r="B25" s="159">
        <f>Helmert_Y(CartesianX,CartesianY,CartesianZ,DY,X_Rotation,Z_Rotation,Scale)</f>
        <v>-146987.30112958828</v>
      </c>
      <c r="C25" s="150"/>
      <c r="D25" s="150"/>
      <c r="E25" s="151"/>
      <c r="F25" s="22" t="s">
        <v>108</v>
      </c>
      <c r="G25" s="205"/>
    </row>
    <row r="26" spans="1:7" ht="15.75" thickBot="1" x14ac:dyDescent="0.3">
      <c r="A26" s="135" t="s">
        <v>101</v>
      </c>
      <c r="B26" s="219">
        <f>Helmert_Z(CartesianX,CartesianY,CartesianZ,DZ,X_Rotation,Y_Rotation,Scale)</f>
        <v>5019888.0701951897</v>
      </c>
      <c r="C26" s="150"/>
      <c r="D26" s="150"/>
      <c r="E26" s="151"/>
      <c r="F26" s="2" t="s">
        <v>147</v>
      </c>
    </row>
    <row r="27" spans="1:7" ht="15" x14ac:dyDescent="0.25">
      <c r="F27" s="22" t="s">
        <v>89</v>
      </c>
    </row>
  </sheetData>
  <sheetProtection sheet="1" objects="1" scenarios="1"/>
  <mergeCells count="2">
    <mergeCell ref="A1:E1"/>
    <mergeCell ref="C14:E14"/>
  </mergeCells>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autoPageBreaks="0"/>
  </sheetPr>
  <dimension ref="A1:H27"/>
  <sheetViews>
    <sheetView workbookViewId="0">
      <selection sqref="A1:G1"/>
    </sheetView>
  </sheetViews>
  <sheetFormatPr defaultRowHeight="15" x14ac:dyDescent="0.25"/>
  <cols>
    <col min="1" max="1" width="17.140625" style="2" customWidth="1"/>
    <col min="2" max="2" width="17" style="2" bestFit="1" customWidth="1"/>
    <col min="3" max="3" width="4.85546875" style="2" customWidth="1"/>
    <col min="4" max="4" width="4.28515625" style="2" customWidth="1"/>
    <col min="5" max="5" width="10.7109375" style="2" bestFit="1" customWidth="1"/>
    <col min="6" max="6" width="19.7109375" style="2" bestFit="1" customWidth="1"/>
    <col min="7" max="7" width="14.5703125" style="2" customWidth="1"/>
    <col min="8" max="8" width="15" style="2" customWidth="1"/>
    <col min="9" max="9" width="3.5703125" style="2" customWidth="1"/>
    <col min="10" max="10" width="17.42578125" style="2" customWidth="1"/>
    <col min="11" max="16384" width="9.140625" style="2"/>
  </cols>
  <sheetData>
    <row r="1" spans="1:8" x14ac:dyDescent="0.25">
      <c r="A1" s="471" t="s">
        <v>99</v>
      </c>
      <c r="B1" s="471"/>
      <c r="C1" s="471"/>
      <c r="D1" s="471"/>
      <c r="E1" s="471"/>
      <c r="F1" s="471"/>
      <c r="G1" s="471"/>
      <c r="H1" s="142"/>
    </row>
    <row r="2" spans="1:8" ht="15.75" thickBot="1" x14ac:dyDescent="0.3"/>
    <row r="3" spans="1:8" ht="15" customHeight="1" x14ac:dyDescent="0.25">
      <c r="A3" s="64" t="s">
        <v>54</v>
      </c>
      <c r="B3" s="64">
        <f>CartesianX</f>
        <v>3909833.0180000002</v>
      </c>
      <c r="C3" s="129"/>
      <c r="D3" s="129"/>
      <c r="E3" s="130"/>
      <c r="F3" s="76"/>
      <c r="G3" s="76"/>
      <c r="H3" s="2" t="s">
        <v>29</v>
      </c>
    </row>
    <row r="4" spans="1:8" ht="15" customHeight="1" x14ac:dyDescent="0.25">
      <c r="A4" s="131" t="s">
        <v>100</v>
      </c>
      <c r="B4" s="131">
        <f>CartesianY</f>
        <v>-147097.13759999999</v>
      </c>
      <c r="C4" s="129"/>
      <c r="D4" s="129"/>
      <c r="E4" s="130"/>
      <c r="F4" s="76"/>
      <c r="G4" s="76"/>
    </row>
    <row r="5" spans="1:8" ht="15" customHeight="1" thickBot="1" x14ac:dyDescent="0.3">
      <c r="A5" s="132" t="s">
        <v>101</v>
      </c>
      <c r="B5" s="132">
        <f>CartesianZ</f>
        <v>5020322.4776999997</v>
      </c>
      <c r="C5" s="129"/>
      <c r="D5" s="129"/>
      <c r="E5" s="130"/>
      <c r="F5" s="76"/>
      <c r="G5" s="76"/>
    </row>
    <row r="6" spans="1:8" ht="15.75" thickBot="1" x14ac:dyDescent="0.3">
      <c r="A6" s="30"/>
      <c r="B6" s="21"/>
      <c r="C6" s="21" t="s">
        <v>1</v>
      </c>
      <c r="D6" s="27" t="s">
        <v>2</v>
      </c>
      <c r="E6" s="21" t="s">
        <v>3</v>
      </c>
      <c r="F6" s="5" t="s">
        <v>15</v>
      </c>
      <c r="G6" s="21" t="s">
        <v>16</v>
      </c>
    </row>
    <row r="7" spans="1:8" ht="15" customHeight="1" x14ac:dyDescent="0.25">
      <c r="A7" s="71" t="s">
        <v>17</v>
      </c>
      <c r="B7" s="136" t="str">
        <f>IF(F7&gt;0,"N","S")</f>
        <v>N</v>
      </c>
      <c r="C7" s="137">
        <f>ABS(TRUNC(F7))</f>
        <v>52</v>
      </c>
      <c r="D7" s="137">
        <f>TRUNC((ABS(F7)-C7)*60)</f>
        <v>15</v>
      </c>
      <c r="E7" s="138">
        <f>((ABS(F7))*3600)-(D7*60)-(C7*3600)</f>
        <v>16.606464232696453</v>
      </c>
      <c r="F7" s="147">
        <f>DEGREES(G7)</f>
        <v>52.254612906731303</v>
      </c>
      <c r="G7" s="143">
        <f>Iterate_XYZ_to_Lat(a,B11,G12,CartesianZ,B10)</f>
        <v>0.91201504457758586</v>
      </c>
      <c r="H7" s="2" t="s">
        <v>31</v>
      </c>
    </row>
    <row r="8" spans="1:8" ht="15" customHeight="1" thickBot="1" x14ac:dyDescent="0.3">
      <c r="A8" s="134" t="s">
        <v>19</v>
      </c>
      <c r="B8" s="171" t="str">
        <f>IF(F8&lt;0,"W","E")</f>
        <v>W</v>
      </c>
      <c r="C8" s="139">
        <f>ABS(TRUNC(F8))</f>
        <v>2</v>
      </c>
      <c r="D8" s="139">
        <f>TRUNC((ABS(F8)-C8)*60)</f>
        <v>9</v>
      </c>
      <c r="E8" s="162">
        <f>((ABS(F8))*3600)-(D8*60)-(C8*3600)</f>
        <v>16.510138160724637</v>
      </c>
      <c r="F8" s="144">
        <f>DEGREES(G8)</f>
        <v>-2.1545861494890901</v>
      </c>
      <c r="G8" s="143">
        <f>IF(CartesianX&gt;=0,ATAN(CartesianY/CartesianX),IF(CartesianY&gt;=0,(ATAN(CartesianY/CartesianX))+PI(),(ATAN(CartesianY/CartesianX))-PI()))</f>
        <v>-3.7604622326451363E-2</v>
      </c>
      <c r="H8" s="20"/>
    </row>
    <row r="9" spans="1:8" ht="15" customHeight="1" thickBot="1" x14ac:dyDescent="0.3">
      <c r="A9" s="135" t="s">
        <v>93</v>
      </c>
      <c r="B9" s="133">
        <f>(B10/COS(G7))-B13</f>
        <v>626.29496913403273</v>
      </c>
      <c r="C9" s="72" t="s">
        <v>30</v>
      </c>
      <c r="D9" s="72"/>
      <c r="E9" s="72"/>
      <c r="F9" s="3"/>
      <c r="G9" s="141"/>
      <c r="H9" s="20"/>
    </row>
    <row r="10" spans="1:8" ht="15" customHeight="1" x14ac:dyDescent="0.25">
      <c r="A10" s="5" t="s">
        <v>103</v>
      </c>
      <c r="B10" s="145">
        <f>SQRT((CartesianX^2)+(CartesianY^2))</f>
        <v>3912599.1101227202</v>
      </c>
      <c r="C10" s="3"/>
      <c r="D10" s="3"/>
      <c r="E10" s="3"/>
      <c r="F10" s="3"/>
      <c r="G10" s="141"/>
      <c r="H10" s="2" t="s">
        <v>33</v>
      </c>
    </row>
    <row r="11" spans="1:8" ht="15" customHeight="1" x14ac:dyDescent="0.25">
      <c r="A11" s="21" t="s">
        <v>32</v>
      </c>
      <c r="B11" s="140">
        <f>((a^2)-(b^2))/(a^2)</f>
        <v>6.6705400741490844E-3</v>
      </c>
      <c r="C11" s="3"/>
      <c r="D11" s="3"/>
      <c r="E11" s="3"/>
      <c r="F11" s="3"/>
      <c r="G11" s="141"/>
      <c r="H11" s="2" t="s">
        <v>35</v>
      </c>
    </row>
    <row r="12" spans="1:8" ht="15" customHeight="1" x14ac:dyDescent="0.25">
      <c r="A12" s="21" t="s">
        <v>104</v>
      </c>
      <c r="B12" s="21" t="str">
        <f>IF(F12&gt;0,"N","S")</f>
        <v>N</v>
      </c>
      <c r="C12" s="4">
        <f>ABS(TRUNC(F12))</f>
        <v>52</v>
      </c>
      <c r="D12" s="4">
        <f>TRUNC((ABS(F12)-C12)*60)</f>
        <v>15</v>
      </c>
      <c r="E12" s="161">
        <f>((ABS(F12))*3600)-(D12*60)-(C12*3600)</f>
        <v>16.672163024981273</v>
      </c>
      <c r="F12" s="3">
        <f>DEGREES(G12)</f>
        <v>52.254631156395831</v>
      </c>
      <c r="G12" s="35">
        <f>ATAN(CartesianZ/(B10*(1-B11)))</f>
        <v>0.91201536309431919</v>
      </c>
      <c r="H12" s="2" t="s">
        <v>105</v>
      </c>
    </row>
    <row r="13" spans="1:8" ht="15" customHeight="1" x14ac:dyDescent="0.25">
      <c r="A13" s="14" t="s">
        <v>34</v>
      </c>
      <c r="B13" s="140">
        <f>a/(SQRT(1-(B11*(SIN(G7))^2)))</f>
        <v>6390905.1551670721</v>
      </c>
      <c r="C13" s="3"/>
      <c r="D13" s="3"/>
      <c r="E13" s="3"/>
      <c r="F13" s="3"/>
      <c r="G13" s="3"/>
      <c r="H13" s="22" t="s">
        <v>109</v>
      </c>
    </row>
    <row r="14" spans="1:8" ht="15" customHeight="1" x14ac:dyDescent="0.25">
      <c r="A14" s="148"/>
      <c r="B14" s="146"/>
      <c r="C14" s="22"/>
      <c r="D14" s="22"/>
      <c r="E14" s="22"/>
      <c r="F14" s="22"/>
      <c r="G14" s="22"/>
      <c r="H14" s="2" t="s">
        <v>147</v>
      </c>
    </row>
    <row r="15" spans="1:8" ht="15" customHeight="1" x14ac:dyDescent="0.25">
      <c r="A15" s="148"/>
      <c r="B15" s="146"/>
      <c r="C15" s="22"/>
      <c r="D15" s="22"/>
      <c r="E15" s="22"/>
      <c r="F15" s="22"/>
      <c r="G15" s="22"/>
      <c r="H15" s="22" t="s">
        <v>89</v>
      </c>
    </row>
    <row r="16" spans="1:8" ht="15.75" thickBot="1" x14ac:dyDescent="0.3">
      <c r="C16" s="22"/>
      <c r="D16" s="22"/>
      <c r="E16" s="22"/>
      <c r="F16" s="22"/>
      <c r="G16" s="22"/>
    </row>
    <row r="17" spans="1:8" x14ac:dyDescent="0.25">
      <c r="A17" s="71" t="s">
        <v>17</v>
      </c>
      <c r="B17" s="397" t="str">
        <f>IF(F17&gt;0,"N","S")</f>
        <v>N</v>
      </c>
      <c r="C17" s="398">
        <f>ABS(TRUNC(F17))</f>
        <v>52</v>
      </c>
      <c r="D17" s="398">
        <f>TRUNC((ABS(F17)-C17)*60)</f>
        <v>15</v>
      </c>
      <c r="E17" s="399">
        <f>((ABS(F17))*3600)-(D17*60)-(C17*3600)</f>
        <v>16.60646423290018</v>
      </c>
      <c r="F17" s="411">
        <f>XYZ_to_Lat(CartesianX,CartesianY,CartesianZ,a,b)</f>
        <v>52.25461290673136</v>
      </c>
      <c r="G17" s="3"/>
      <c r="H17" s="2" t="s">
        <v>106</v>
      </c>
    </row>
    <row r="18" spans="1:8" ht="15.75" thickBot="1" x14ac:dyDescent="0.3">
      <c r="A18" s="134" t="s">
        <v>19</v>
      </c>
      <c r="B18" s="400" t="str">
        <f>IF(F18&lt;0,"W","E")</f>
        <v>W</v>
      </c>
      <c r="C18" s="401">
        <f>ABS(TRUNC(F18))</f>
        <v>2</v>
      </c>
      <c r="D18" s="401">
        <f>TRUNC((ABS(F18)-C18)*60)</f>
        <v>9</v>
      </c>
      <c r="E18" s="402">
        <f>((ABS(F18))*3600)-(D18*60)-(C18*3600)</f>
        <v>16.510138160732822</v>
      </c>
      <c r="F18" s="413">
        <f>XYZ_to_Long(CartesianX,CartesianY)</f>
        <v>-2.1545861494890923</v>
      </c>
      <c r="G18" s="3"/>
      <c r="H18" s="22" t="s">
        <v>108</v>
      </c>
    </row>
    <row r="19" spans="1:8" ht="15.75" thickBot="1" x14ac:dyDescent="0.3">
      <c r="A19" s="135" t="s">
        <v>93</v>
      </c>
      <c r="B19" s="133">
        <f>XYZ_to_H(CartesianX,CartesianY,CartesianZ,a,b)</f>
        <v>626.29496913496405</v>
      </c>
      <c r="C19" s="72" t="s">
        <v>30</v>
      </c>
      <c r="D19" s="72"/>
      <c r="E19" s="72"/>
      <c r="F19" s="3"/>
      <c r="G19" s="3"/>
      <c r="H19" s="2" t="s">
        <v>147</v>
      </c>
    </row>
    <row r="20" spans="1:8" x14ac:dyDescent="0.25">
      <c r="A20" s="22"/>
      <c r="B20" s="22"/>
      <c r="C20" s="22"/>
      <c r="D20" s="22"/>
      <c r="E20" s="22"/>
      <c r="F20" s="22"/>
      <c r="H20" s="22" t="s">
        <v>89</v>
      </c>
    </row>
    <row r="21" spans="1:8" x14ac:dyDescent="0.25">
      <c r="A21" s="22"/>
      <c r="B21" s="22"/>
      <c r="C21" s="22"/>
      <c r="D21" s="22"/>
      <c r="E21" s="22"/>
      <c r="F21" s="22"/>
    </row>
    <row r="25" spans="1:8" x14ac:dyDescent="0.25">
      <c r="C25" s="24"/>
    </row>
    <row r="26" spans="1:8" x14ac:dyDescent="0.25">
      <c r="C26" s="24"/>
    </row>
    <row r="27" spans="1:8" x14ac:dyDescent="0.25">
      <c r="C27" s="24"/>
    </row>
  </sheetData>
  <sheetProtection sheet="1" objects="1" scenarios="1"/>
  <mergeCells count="1">
    <mergeCell ref="A1:G1"/>
  </mergeCells>
  <phoneticPr fontId="0" type="noConversion"/>
  <printOptions horizontalCentered="1"/>
  <pageMargins left="0.74803149606299213" right="0.74803149606299213" top="0.98425196850393704" bottom="0.98425196850393704" header="0.51181102362204722" footer="0.51181102362204722"/>
  <pageSetup paperSize="9" orientation="portrait" horizontalDpi="300" verticalDpi="300"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H32"/>
  <sheetViews>
    <sheetView workbookViewId="0">
      <selection sqref="A1:E1"/>
    </sheetView>
  </sheetViews>
  <sheetFormatPr defaultRowHeight="15" x14ac:dyDescent="0.25"/>
  <cols>
    <col min="1" max="1" width="12.85546875" style="2" bestFit="1" customWidth="1"/>
    <col min="2" max="2" width="17.42578125" style="2" customWidth="1"/>
    <col min="3" max="3" width="3.85546875" style="2" customWidth="1"/>
    <col min="4" max="4" width="4.28515625" style="2" customWidth="1"/>
    <col min="5" max="5" width="14.5703125" style="2" customWidth="1"/>
    <col min="6" max="6" width="15.5703125" style="2" customWidth="1"/>
    <col min="7" max="7" width="17.42578125" style="2" customWidth="1"/>
    <col min="8" max="8" width="15" style="2" customWidth="1"/>
    <col min="9" max="9" width="3.5703125" style="2" customWidth="1"/>
    <col min="10" max="10" width="17.42578125" style="2" customWidth="1"/>
    <col min="11" max="16384" width="9.140625" style="2"/>
  </cols>
  <sheetData>
    <row r="1" spans="1:8" x14ac:dyDescent="0.25">
      <c r="A1" s="471" t="s">
        <v>28</v>
      </c>
      <c r="B1" s="471"/>
      <c r="C1" s="471"/>
      <c r="D1" s="471"/>
      <c r="E1" s="471"/>
    </row>
    <row r="2" spans="1:8" ht="15.75" thickBot="1" x14ac:dyDescent="0.3"/>
    <row r="3" spans="1:8" ht="15" customHeight="1" x14ac:dyDescent="0.25">
      <c r="A3" s="64" t="s">
        <v>17</v>
      </c>
      <c r="B3" s="58" t="str">
        <f>'Enter coordinates here'!$B$5</f>
        <v>N</v>
      </c>
      <c r="C3" s="59">
        <f>'Enter coordinates here'!$C$5</f>
        <v>52</v>
      </c>
      <c r="D3" s="59">
        <f>'Enter coordinates here'!$D$5</f>
        <v>39</v>
      </c>
      <c r="E3" s="60">
        <f>'Enter coordinates here'!$E$5</f>
        <v>16.152177459639301</v>
      </c>
      <c r="F3" s="2" t="s">
        <v>29</v>
      </c>
    </row>
    <row r="4" spans="1:8" ht="15" customHeight="1" thickBot="1" x14ac:dyDescent="0.3">
      <c r="A4" s="65" t="s">
        <v>19</v>
      </c>
      <c r="B4" s="61" t="str">
        <f>'Enter coordinates here'!$B$6</f>
        <v>E</v>
      </c>
      <c r="C4" s="62">
        <f>'Enter coordinates here'!$C$6</f>
        <v>1</v>
      </c>
      <c r="D4" s="62">
        <f>'Enter coordinates here'!$D$6</f>
        <v>43</v>
      </c>
      <c r="E4" s="63">
        <f>'Enter coordinates here'!$E$6</f>
        <v>73.852177459639293</v>
      </c>
    </row>
    <row r="5" spans="1:8" ht="15" customHeight="1" x14ac:dyDescent="0.25">
      <c r="A5" s="71" t="s">
        <v>20</v>
      </c>
      <c r="B5" s="90">
        <f>E0+(P*IV)+((P^3)*V)+((P^5)*VI)</f>
        <v>652729.56942694413</v>
      </c>
      <c r="C5" s="72" t="s">
        <v>30</v>
      </c>
      <c r="D5" s="72"/>
      <c r="E5" s="72"/>
      <c r="F5" s="2" t="s">
        <v>31</v>
      </c>
      <c r="G5" s="19"/>
      <c r="H5" s="20"/>
    </row>
    <row r="6" spans="1:8" ht="15" customHeight="1" thickBot="1" x14ac:dyDescent="0.3">
      <c r="A6" s="73" t="s">
        <v>23</v>
      </c>
      <c r="B6" s="91">
        <f>I+((P^2)*II)+((P^4)*III)+((P^6)*IIIA)</f>
        <v>312901.92069192795</v>
      </c>
      <c r="C6" s="72" t="s">
        <v>30</v>
      </c>
      <c r="D6" s="72"/>
      <c r="E6" s="72"/>
      <c r="G6" s="19"/>
      <c r="H6" s="20"/>
    </row>
    <row r="7" spans="1:8" ht="15" customHeight="1" x14ac:dyDescent="0.25">
      <c r="A7" s="21" t="s">
        <v>32</v>
      </c>
      <c r="B7" s="15">
        <f>(aFo^2-bFo^2)/aFo^2</f>
        <v>6.6705400741494218E-3</v>
      </c>
      <c r="C7" s="4"/>
      <c r="D7" s="4"/>
      <c r="E7" s="3"/>
      <c r="F7" s="2" t="s">
        <v>33</v>
      </c>
      <c r="G7" s="22"/>
      <c r="H7" s="22"/>
    </row>
    <row r="8" spans="1:8" ht="15" customHeight="1" x14ac:dyDescent="0.25">
      <c r="A8" s="21" t="s">
        <v>34</v>
      </c>
      <c r="B8" s="15">
        <f>(aFo-bFo)/(aFo+bFo)</f>
        <v>1.6732203289875408E-3</v>
      </c>
      <c r="C8" s="21"/>
      <c r="D8" s="21"/>
      <c r="E8" s="3"/>
      <c r="F8" s="2" t="s">
        <v>35</v>
      </c>
      <c r="G8" s="22"/>
      <c r="H8" s="22"/>
    </row>
    <row r="9" spans="1:8" ht="15" customHeight="1" x14ac:dyDescent="0.25">
      <c r="A9" s="14" t="s">
        <v>34</v>
      </c>
      <c r="B9" s="15">
        <f>aFo/(SQRT(1-(e_squared*(SIN(PHI))^2)))</f>
        <v>6388501.2231931137</v>
      </c>
      <c r="C9" s="3"/>
      <c r="D9" s="3"/>
      <c r="E9" s="3"/>
      <c r="G9" s="22"/>
      <c r="H9" s="22"/>
    </row>
    <row r="10" spans="1:8" ht="15" customHeight="1" x14ac:dyDescent="0.25">
      <c r="A10" s="14" t="s">
        <v>36</v>
      </c>
      <c r="B10" s="15">
        <f>(nu*(1-e_squared))/(1-(e_squared*(SIN(PHI))^2))</f>
        <v>6372753.115849047</v>
      </c>
      <c r="C10" s="3"/>
      <c r="D10" s="3"/>
      <c r="E10" s="3"/>
      <c r="F10" s="2" t="s">
        <v>150</v>
      </c>
      <c r="G10" s="22"/>
      <c r="H10" s="22"/>
    </row>
    <row r="11" spans="1:8" ht="15" customHeight="1" x14ac:dyDescent="0.25">
      <c r="A11" s="14" t="s">
        <v>37</v>
      </c>
      <c r="B11" s="15">
        <f>(nu/rho)-1</f>
        <v>2.4711623152167128E-3</v>
      </c>
      <c r="C11" s="3"/>
      <c r="D11" s="3"/>
      <c r="E11" s="3"/>
      <c r="F11" s="22" t="s">
        <v>109</v>
      </c>
      <c r="G11" s="22"/>
      <c r="H11" s="22"/>
    </row>
    <row r="12" spans="1:8" ht="15" customHeight="1" x14ac:dyDescent="0.25">
      <c r="A12" s="5" t="s">
        <v>38</v>
      </c>
      <c r="B12" s="16">
        <f>LAM-LAM0</f>
        <v>6.5226115992577535E-2</v>
      </c>
      <c r="C12" s="4"/>
      <c r="D12" s="23"/>
      <c r="E12" s="3"/>
      <c r="F12" s="2" t="s">
        <v>147</v>
      </c>
      <c r="G12" s="22"/>
      <c r="H12" s="20"/>
    </row>
    <row r="13" spans="1:8" ht="15" customHeight="1" x14ac:dyDescent="0.25">
      <c r="A13" s="5" t="s">
        <v>39</v>
      </c>
      <c r="B13" s="16">
        <f>Marc(bFo,n,PHI0,PHI)</f>
        <v>406345.32198843319</v>
      </c>
      <c r="C13" s="4"/>
      <c r="D13" s="4"/>
      <c r="E13" s="3"/>
      <c r="F13" s="22" t="s">
        <v>89</v>
      </c>
      <c r="G13" s="22"/>
      <c r="H13" s="20"/>
    </row>
    <row r="14" spans="1:8" ht="15" customHeight="1" x14ac:dyDescent="0.25">
      <c r="A14" s="5" t="s">
        <v>40</v>
      </c>
      <c r="B14" s="16">
        <f>M+N0</f>
        <v>306345.32198843319</v>
      </c>
      <c r="C14" s="4"/>
      <c r="D14" s="4"/>
      <c r="E14" s="3"/>
      <c r="G14" s="22"/>
      <c r="H14" s="20"/>
    </row>
    <row r="15" spans="1:8" ht="15" customHeight="1" x14ac:dyDescent="0.25">
      <c r="A15" s="5" t="s">
        <v>41</v>
      </c>
      <c r="B15" s="16">
        <f>(nu/2)*(SIN(PHI))*(COS(PHI))</f>
        <v>1540453.0390650795</v>
      </c>
      <c r="C15" s="4"/>
      <c r="D15" s="4"/>
      <c r="E15" s="3"/>
      <c r="G15" s="22"/>
      <c r="H15" s="20"/>
    </row>
    <row r="16" spans="1:8" ht="15" customHeight="1" x14ac:dyDescent="0.25">
      <c r="A16" s="5" t="s">
        <v>42</v>
      </c>
      <c r="B16" s="16">
        <f>((nu/24)*(SIN(PHI))*((COS(PHI))^3))*(5-((TAN(PHI))^2)+(9*_eta2))</f>
        <v>156113.60423162641</v>
      </c>
      <c r="C16" s="4"/>
      <c r="D16" s="4"/>
      <c r="E16" s="3"/>
      <c r="G16" s="22"/>
      <c r="H16" s="20"/>
    </row>
    <row r="17" spans="1:8" ht="15" customHeight="1" x14ac:dyDescent="0.25">
      <c r="A17" s="5" t="s">
        <v>43</v>
      </c>
      <c r="B17" s="16">
        <f>((nu/720)*(SIN(PHI))*((COS(PHI))^5))*(61-(58*((TAN(PHI))^2))+((TAN(PHI))^4))</f>
        <v>-20665.440275307203</v>
      </c>
      <c r="C17" s="4"/>
      <c r="D17" s="4"/>
      <c r="E17" s="3"/>
      <c r="G17" s="22"/>
      <c r="H17" s="20"/>
    </row>
    <row r="18" spans="1:8" ht="15" customHeight="1" x14ac:dyDescent="0.25">
      <c r="A18" s="5" t="s">
        <v>44</v>
      </c>
      <c r="B18" s="16">
        <f>nu*(COS(PHI))</f>
        <v>3875393.2423440791</v>
      </c>
      <c r="C18" s="4"/>
      <c r="D18" s="4"/>
      <c r="E18" s="4"/>
      <c r="G18" s="1"/>
      <c r="H18" s="1"/>
    </row>
    <row r="19" spans="1:8" ht="15" customHeight="1" x14ac:dyDescent="0.25">
      <c r="A19" s="5" t="s">
        <v>45</v>
      </c>
      <c r="B19" s="16">
        <f>(nu/6)*((COS(PHI))^3)*((nu/rho)-((TAN(PHI)^2)))</f>
        <v>-169945.52317053499</v>
      </c>
      <c r="C19" s="4"/>
      <c r="D19" s="4"/>
      <c r="E19" s="4"/>
      <c r="G19" s="1"/>
      <c r="H19" s="1"/>
    </row>
    <row r="20" spans="1:8" ht="12.95" customHeight="1" x14ac:dyDescent="0.25">
      <c r="A20" s="5" t="s">
        <v>46</v>
      </c>
      <c r="B20" s="16">
        <f>(nu/120)*((COS(PHI))^5)*(5-(18*((TAN(PHI))^2))+((TAN(PHI))^4)+(14*_eta2)-(58*((TAN(PHI))^2)*_eta2))</f>
        <v>-101355.90569429824</v>
      </c>
      <c r="C20" s="4"/>
      <c r="D20" s="4"/>
      <c r="E20" s="4"/>
      <c r="F20" s="22"/>
      <c r="G20" s="22"/>
      <c r="H20" s="20"/>
    </row>
    <row r="21" spans="1:8" ht="15.75" thickBot="1" x14ac:dyDescent="0.3">
      <c r="C21" s="22"/>
      <c r="D21" s="22"/>
      <c r="E21" s="22"/>
      <c r="F21" s="22"/>
      <c r="G21" s="22"/>
      <c r="H21" s="22"/>
    </row>
    <row r="22" spans="1:8" x14ac:dyDescent="0.25">
      <c r="A22" s="71" t="s">
        <v>20</v>
      </c>
      <c r="B22" s="90">
        <f>Lat_Long_to_East(DecimalLat,DecimalLong,a,b,E0,F0,DecimalPHI0,DecimalLAM0)</f>
        <v>652729.56942694413</v>
      </c>
      <c r="C22" s="72" t="s">
        <v>30</v>
      </c>
      <c r="D22" s="72"/>
      <c r="E22" s="72"/>
      <c r="F22" s="2" t="s">
        <v>106</v>
      </c>
      <c r="G22" s="22"/>
      <c r="H22" s="22"/>
    </row>
    <row r="23" spans="1:8" ht="15.75" thickBot="1" x14ac:dyDescent="0.3">
      <c r="A23" s="73" t="s">
        <v>23</v>
      </c>
      <c r="B23" s="91">
        <f>Lat_Long_to_North(DecimalLat,DecimalLong,a,b,E0,N0,F0,DecimalPHI0,DecimalLAM0)</f>
        <v>312901.92069192656</v>
      </c>
      <c r="C23" s="72" t="s">
        <v>30</v>
      </c>
      <c r="D23" s="72"/>
      <c r="E23" s="72"/>
      <c r="F23" s="22" t="s">
        <v>108</v>
      </c>
    </row>
    <row r="24" spans="1:8" x14ac:dyDescent="0.25">
      <c r="A24" s="22"/>
      <c r="B24" s="22"/>
      <c r="C24" s="22"/>
      <c r="D24" s="22"/>
      <c r="E24" s="22"/>
      <c r="F24" s="2" t="s">
        <v>147</v>
      </c>
    </row>
    <row r="25" spans="1:8" x14ac:dyDescent="0.25">
      <c r="A25" s="22"/>
      <c r="B25" s="22"/>
      <c r="C25" s="22"/>
      <c r="D25" s="22"/>
      <c r="E25" s="22"/>
      <c r="F25" s="22" t="s">
        <v>89</v>
      </c>
    </row>
    <row r="26" spans="1:8" x14ac:dyDescent="0.25">
      <c r="A26" s="22"/>
      <c r="B26" s="22"/>
      <c r="C26" s="22"/>
      <c r="D26" s="22"/>
      <c r="E26" s="22"/>
      <c r="F26" s="22"/>
    </row>
    <row r="30" spans="1:8" x14ac:dyDescent="0.25">
      <c r="C30" s="24"/>
    </row>
    <row r="31" spans="1:8" x14ac:dyDescent="0.25">
      <c r="C31" s="24"/>
    </row>
    <row r="32" spans="1:8" x14ac:dyDescent="0.25">
      <c r="C32" s="24"/>
    </row>
  </sheetData>
  <sheetProtection sheet="1" objects="1" scenarios="1"/>
  <mergeCells count="1">
    <mergeCell ref="A1:E1"/>
  </mergeCells>
  <phoneticPr fontId="0" type="noConversion"/>
  <printOptions horizontalCentered="1"/>
  <pageMargins left="0.74803149606299213" right="0.74803149606299213" top="0.98425196850393704" bottom="0.98425196850393704" header="0.51181102362204722" footer="0.51181102362204722"/>
  <pageSetup paperSize="9" orientation="portrait" horizontalDpi="300" verticalDpi="300" r:id="rId1"/>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6"/>
  <sheetViews>
    <sheetView workbookViewId="0">
      <selection sqref="A1:G1"/>
    </sheetView>
  </sheetViews>
  <sheetFormatPr defaultRowHeight="15" x14ac:dyDescent="0.25"/>
  <cols>
    <col min="1" max="1" width="12" style="2" customWidth="1"/>
    <col min="2" max="2" width="16.5703125" style="2" customWidth="1"/>
    <col min="3" max="3" width="3.7109375" style="2" customWidth="1"/>
    <col min="4" max="4" width="3.85546875" style="2" customWidth="1"/>
    <col min="5" max="5" width="10.85546875" style="2" customWidth="1"/>
    <col min="6" max="6" width="16.42578125" style="2" bestFit="1" customWidth="1"/>
    <col min="7" max="7" width="14" style="2" customWidth="1"/>
    <col min="8" max="16384" width="9.140625" style="2"/>
  </cols>
  <sheetData>
    <row r="1" spans="1:8" x14ac:dyDescent="0.25">
      <c r="A1" s="471" t="s">
        <v>47</v>
      </c>
      <c r="B1" s="471"/>
      <c r="C1" s="471"/>
      <c r="D1" s="471"/>
      <c r="E1" s="471"/>
      <c r="F1" s="471"/>
      <c r="G1" s="471"/>
    </row>
    <row r="2" spans="1:8" ht="15.75" thickBot="1" x14ac:dyDescent="0.3"/>
    <row r="3" spans="1:8" x14ac:dyDescent="0.25">
      <c r="A3" s="74" t="s">
        <v>20</v>
      </c>
      <c r="B3" s="75">
        <f>East1</f>
        <v>651409.90300000005</v>
      </c>
      <c r="C3" s="76"/>
      <c r="D3" s="76"/>
      <c r="E3" s="76"/>
      <c r="F3" s="76"/>
      <c r="G3" s="76"/>
      <c r="H3" s="2" t="s">
        <v>29</v>
      </c>
    </row>
    <row r="4" spans="1:8" ht="15.75" thickBot="1" x14ac:dyDescent="0.3">
      <c r="A4" s="77" t="s">
        <v>23</v>
      </c>
      <c r="B4" s="78">
        <f>North1</f>
        <v>313177.27</v>
      </c>
      <c r="C4" s="76"/>
      <c r="D4" s="76"/>
      <c r="E4" s="76"/>
      <c r="F4" s="76"/>
      <c r="G4" s="76"/>
    </row>
    <row r="5" spans="1:8" ht="15.75" thickBot="1" x14ac:dyDescent="0.3">
      <c r="A5" s="30"/>
      <c r="B5" s="21"/>
      <c r="C5" s="21" t="s">
        <v>1</v>
      </c>
      <c r="D5" s="27" t="s">
        <v>2</v>
      </c>
      <c r="E5" s="21" t="s">
        <v>3</v>
      </c>
      <c r="F5" s="32" t="s">
        <v>15</v>
      </c>
      <c r="G5" s="21" t="s">
        <v>16</v>
      </c>
    </row>
    <row r="6" spans="1:8" x14ac:dyDescent="0.25">
      <c r="A6" s="71" t="s">
        <v>17</v>
      </c>
      <c r="B6" s="92" t="str">
        <f>IF(F6&gt;0,"N","S")</f>
        <v>N</v>
      </c>
      <c r="C6" s="93">
        <f>ABS(TRUNC(F6))</f>
        <v>52</v>
      </c>
      <c r="D6" s="94">
        <f>TRUNC((ABS(F6)-C6)*60)</f>
        <v>39</v>
      </c>
      <c r="E6" s="160">
        <f>((ABS(F6))*3600)-(D6*60)-(C6*3600)</f>
        <v>27.253086959361099</v>
      </c>
      <c r="F6" s="33">
        <f>DEGREES(G6)</f>
        <v>52.657570301933156</v>
      </c>
      <c r="G6" s="28">
        <f>(InitialPHI-((Et^2)*VII)+((Et^4)*VIII)-((Et^6)*IX))</f>
        <v>0.91904797786911818</v>
      </c>
      <c r="H6" s="2" t="s">
        <v>31</v>
      </c>
    </row>
    <row r="7" spans="1:8" ht="15.75" thickBot="1" x14ac:dyDescent="0.3">
      <c r="A7" s="73" t="s">
        <v>19</v>
      </c>
      <c r="B7" s="95" t="str">
        <f>IF(F7&lt;0,"W","E")</f>
        <v>E</v>
      </c>
      <c r="C7" s="96">
        <f>ABS(TRUNC(F7))</f>
        <v>1</v>
      </c>
      <c r="D7" s="97">
        <f>TRUNC((ABS(F7)-C7)*60)</f>
        <v>43</v>
      </c>
      <c r="E7" s="98">
        <f>((ABS(F7))*3600)-(D7*60)-(C7*3600)</f>
        <v>4.5176903223455156</v>
      </c>
      <c r="F7" s="33">
        <f>DEGREES(G7)</f>
        <v>1.717921580645096</v>
      </c>
      <c r="G7" s="28">
        <f>LAM0+(Et*X)-((Et^3)*XI)+((Et^5)*XII)-((Et^7)*XIIA)</f>
        <v>2.9983387873322217E-2</v>
      </c>
    </row>
    <row r="8" spans="1:8" x14ac:dyDescent="0.25">
      <c r="A8" s="31" t="s">
        <v>48</v>
      </c>
      <c r="B8" s="21" t="str">
        <f>IF(F8&gt;0,"N","S")</f>
        <v>N</v>
      </c>
      <c r="C8" s="21">
        <f>ABS(TRUNC(F8))</f>
        <v>52</v>
      </c>
      <c r="D8" s="21">
        <f>TRUNC((ABS(F8)-C8)*60)</f>
        <v>42</v>
      </c>
      <c r="E8" s="34">
        <f>((ABS(F8))*3600)-(D8*60)-(C8*3600)</f>
        <v>57.278445496980567</v>
      </c>
      <c r="F8" s="35">
        <f>DEGREES(G8)</f>
        <v>52.715910679304713</v>
      </c>
      <c r="G8" s="36">
        <f>InitialLat(North1,N0,aFo,PHI0,n,bFo)</f>
        <v>0.92006620954110785</v>
      </c>
      <c r="H8" s="2" t="s">
        <v>33</v>
      </c>
    </row>
    <row r="9" spans="1:8" ht="15.75" customHeight="1" x14ac:dyDescent="0.25">
      <c r="A9" s="5" t="s">
        <v>32</v>
      </c>
      <c r="B9" s="15">
        <f>(aFo^2-bFo^2)/aFo^2</f>
        <v>6.6705400741494218E-3</v>
      </c>
      <c r="C9" s="21"/>
      <c r="D9" s="21"/>
      <c r="E9" s="34"/>
      <c r="F9" s="35"/>
      <c r="G9" s="36"/>
      <c r="H9" s="2" t="s">
        <v>35</v>
      </c>
    </row>
    <row r="10" spans="1:8" x14ac:dyDescent="0.25">
      <c r="A10" s="14" t="s">
        <v>34</v>
      </c>
      <c r="B10" s="17">
        <f>aFo/(SQRT(1-(e_squared*(SIN(InitialPHI))^2)))</f>
        <v>6388523.3421127843</v>
      </c>
      <c r="C10" s="3"/>
      <c r="D10" s="3"/>
      <c r="E10" s="3"/>
      <c r="F10" s="3"/>
      <c r="G10" s="3"/>
    </row>
    <row r="11" spans="1:8" x14ac:dyDescent="0.25">
      <c r="A11" s="14" t="s">
        <v>36</v>
      </c>
      <c r="B11" s="17">
        <f>(nuPL*(1-e_squared))/(1-(e_squared*(SIN(InitialPHI))^2))</f>
        <v>6372819.3092631362</v>
      </c>
      <c r="C11" s="3"/>
      <c r="D11" s="3"/>
      <c r="E11" s="3"/>
      <c r="F11" s="3"/>
      <c r="G11" s="3"/>
      <c r="H11" s="2" t="s">
        <v>149</v>
      </c>
    </row>
    <row r="12" spans="1:8" ht="16.5" x14ac:dyDescent="0.25">
      <c r="A12" s="14" t="s">
        <v>37</v>
      </c>
      <c r="B12" s="17">
        <f>(nuPL/rhoPL)-1</f>
        <v>2.4642206357272656E-3</v>
      </c>
      <c r="C12" s="3"/>
      <c r="D12" s="3"/>
      <c r="E12" s="3"/>
      <c r="F12" s="3"/>
      <c r="G12" s="3"/>
      <c r="H12" s="22" t="s">
        <v>108</v>
      </c>
    </row>
    <row r="13" spans="1:8" x14ac:dyDescent="0.25">
      <c r="A13" s="14" t="s">
        <v>39</v>
      </c>
      <c r="B13" s="17">
        <f>Marc(bFo,n,PHI0,InitialPHI)</f>
        <v>413177.26999998867</v>
      </c>
      <c r="C13" s="3"/>
      <c r="D13" s="3"/>
      <c r="E13" s="3"/>
      <c r="F13" s="3"/>
      <c r="G13" s="3"/>
      <c r="H13" s="2" t="s">
        <v>147</v>
      </c>
    </row>
    <row r="14" spans="1:8" ht="16.5" x14ac:dyDescent="0.3">
      <c r="A14" s="5" t="s">
        <v>50</v>
      </c>
      <c r="B14" s="17">
        <f>East1-E0</f>
        <v>251409.90300000005</v>
      </c>
      <c r="C14" s="3"/>
      <c r="D14" s="3"/>
      <c r="E14" s="3"/>
      <c r="F14" s="3"/>
      <c r="G14" s="3"/>
      <c r="H14" s="22" t="s">
        <v>89</v>
      </c>
    </row>
    <row r="15" spans="1:8" x14ac:dyDescent="0.25">
      <c r="A15" s="5" t="s">
        <v>51</v>
      </c>
      <c r="B15" s="17">
        <f>(TAN(InitialPHI))/(2*nuPL*rhoPL)</f>
        <v>1.613056248906351E-14</v>
      </c>
      <c r="C15" s="3"/>
      <c r="D15" s="3"/>
      <c r="E15" s="3"/>
      <c r="F15" s="3"/>
      <c r="G15" s="3"/>
    </row>
    <row r="16" spans="1:8" x14ac:dyDescent="0.25">
      <c r="A16" s="5" t="s">
        <v>52</v>
      </c>
      <c r="B16" s="17">
        <f>((TAN(InitialPHI))/(24*rhoPL*nuPL^3))*(5+(3*((TAN(InitialPHI))^2))+eta2PL-(9*((TAN(InitialPHI))^2)*eta2PL))</f>
        <v>3.3395547427023728E-28</v>
      </c>
      <c r="C16" s="3"/>
      <c r="D16" s="3"/>
      <c r="E16" s="3"/>
      <c r="F16" s="3"/>
      <c r="G16" s="3"/>
    </row>
    <row r="17" spans="1:8" x14ac:dyDescent="0.25">
      <c r="A17" s="5" t="s">
        <v>53</v>
      </c>
      <c r="B17" s="17">
        <f>((TAN(InitialPHI))/(720*rhoPL*nuPL^5))*(61+(90*((TAN(InitialPHI))^2))+(45*((TAN(InitialPHI))^4)))</f>
        <v>9.4198561674796489E-42</v>
      </c>
      <c r="C17" s="3"/>
      <c r="D17" s="3"/>
      <c r="E17" s="3"/>
      <c r="F17" s="3"/>
      <c r="G17" s="3"/>
    </row>
    <row r="18" spans="1:8" x14ac:dyDescent="0.25">
      <c r="A18" s="5" t="s">
        <v>54</v>
      </c>
      <c r="B18" s="17">
        <f>((COS(InitialPHI))^-1)/nuPL</f>
        <v>2.584006250686611E-7</v>
      </c>
      <c r="C18" s="3"/>
      <c r="D18" s="3"/>
      <c r="E18" s="3"/>
      <c r="F18" s="3"/>
      <c r="G18" s="3"/>
    </row>
    <row r="19" spans="1:8" x14ac:dyDescent="0.25">
      <c r="A19" s="5" t="s">
        <v>55</v>
      </c>
      <c r="B19" s="17">
        <f>(((COS(InitialPHI))^-1)/(6*nuPL^3))*((nuPL/rhoPL)+(2*((TAN(InitialPHI))^2)))</f>
        <v>4.6985969955659425E-21</v>
      </c>
      <c r="C19" s="3"/>
      <c r="D19" s="3"/>
      <c r="E19" s="3"/>
      <c r="F19" s="3"/>
      <c r="G19" s="3"/>
    </row>
    <row r="20" spans="1:8" x14ac:dyDescent="0.25">
      <c r="A20" s="5" t="s">
        <v>56</v>
      </c>
      <c r="B20" s="17">
        <f>(((COS(InitialPHI))^-1)/(120*nuPL^5))*(5+(28*((TAN(InitialPHI))^2))+(24*((TAN(InitialPHI))^4)))</f>
        <v>1.6124316613929322E-34</v>
      </c>
      <c r="C20" s="3"/>
      <c r="D20" s="3"/>
      <c r="E20" s="3"/>
      <c r="F20" s="3"/>
      <c r="G20" s="3"/>
    </row>
    <row r="21" spans="1:8" x14ac:dyDescent="0.25">
      <c r="A21" s="5" t="s">
        <v>57</v>
      </c>
      <c r="B21" s="17">
        <f>(((COS(InitialPHI))^-1)/(5040*nuPL^7))*(61+(662*((TAN(InitialPHI))^2))+(1320*((TAN(InitialPHI))^4))+(720*((TAN(InitialPHI))^6)))</f>
        <v>6.6577316284724542E-48</v>
      </c>
      <c r="C21" s="3"/>
      <c r="D21" s="3"/>
      <c r="E21" s="3"/>
      <c r="F21" s="3"/>
      <c r="G21" s="3"/>
    </row>
    <row r="22" spans="1:8" ht="15.75" thickBot="1" x14ac:dyDescent="0.3">
      <c r="A22" s="18"/>
      <c r="B22" s="37"/>
      <c r="C22" s="22"/>
      <c r="D22" s="22"/>
      <c r="E22" s="22"/>
      <c r="F22" s="22"/>
      <c r="G22" s="22"/>
    </row>
    <row r="23" spans="1:8" x14ac:dyDescent="0.25">
      <c r="A23" s="71" t="s">
        <v>17</v>
      </c>
      <c r="B23" s="403" t="str">
        <f>IF(F23&gt;0,"N","S")</f>
        <v>N</v>
      </c>
      <c r="C23" s="404">
        <f>ABS(TRUNC(F23))</f>
        <v>52</v>
      </c>
      <c r="D23" s="405">
        <f>TRUNC((ABS(F23)-C23)*60)</f>
        <v>39</v>
      </c>
      <c r="E23" s="406">
        <f>((ABS(F23))*3600)-(D23*60)-(C23*3600)</f>
        <v>27.253086959390203</v>
      </c>
      <c r="F23" s="411">
        <f>E_N_to_Lat(East1,North1,a,b,E0,N0,F0,DecimalPHI0,DecimalLAM0)</f>
        <v>52.657570301933163</v>
      </c>
      <c r="G23" s="112"/>
      <c r="H23" s="2" t="s">
        <v>106</v>
      </c>
    </row>
    <row r="24" spans="1:8" ht="15.75" thickBot="1" x14ac:dyDescent="0.3">
      <c r="A24" s="73" t="s">
        <v>19</v>
      </c>
      <c r="B24" s="407" t="str">
        <f>IF(F24&lt;0,"W","E")</f>
        <v>E</v>
      </c>
      <c r="C24" s="408">
        <f>ABS(TRUNC(F24))</f>
        <v>1</v>
      </c>
      <c r="D24" s="409">
        <f>TRUNC((ABS(F24)-C24)*60)</f>
        <v>43</v>
      </c>
      <c r="E24" s="410">
        <f>((ABS(F24))*3600)-(D24*60)-(C24*3600)</f>
        <v>4.5176903223473346</v>
      </c>
      <c r="F24" s="412">
        <f>E_N_to_Long(East1,North1,a,b,E0,N0,F0,DecimalPHI0,DecimalLAM0)</f>
        <v>1.7179215806450965</v>
      </c>
      <c r="G24" s="112"/>
      <c r="H24" s="22" t="s">
        <v>108</v>
      </c>
    </row>
    <row r="25" spans="1:8" x14ac:dyDescent="0.25">
      <c r="H25" s="2" t="s">
        <v>147</v>
      </c>
    </row>
    <row r="26" spans="1:8" x14ac:dyDescent="0.25">
      <c r="H26" s="22" t="s">
        <v>89</v>
      </c>
    </row>
  </sheetData>
  <sheetProtection sheet="1" objects="1" scenarios="1"/>
  <mergeCells count="1">
    <mergeCell ref="A1:G1"/>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15"/>
  <sheetViews>
    <sheetView workbookViewId="0">
      <selection activeCell="B8" sqref="B8"/>
    </sheetView>
  </sheetViews>
  <sheetFormatPr defaultRowHeight="12.75" x14ac:dyDescent="0.2"/>
  <cols>
    <col min="1" max="1" width="17.140625" style="149" bestFit="1" customWidth="1"/>
    <col min="2" max="2" width="20.140625" style="149" customWidth="1"/>
    <col min="3" max="4" width="10.28515625" style="149" bestFit="1" customWidth="1"/>
    <col min="5" max="5" width="10.7109375" style="149" bestFit="1" customWidth="1"/>
    <col min="6" max="6" width="14.5703125" style="154" bestFit="1" customWidth="1"/>
    <col min="7" max="7" width="12.5703125" style="154" bestFit="1" customWidth="1"/>
    <col min="8" max="16384" width="9.140625" style="149"/>
  </cols>
  <sheetData>
    <row r="1" spans="1:7" ht="14.25" x14ac:dyDescent="0.2">
      <c r="A1" s="471" t="s">
        <v>107</v>
      </c>
      <c r="B1" s="471"/>
      <c r="C1" s="471"/>
      <c r="D1" s="471"/>
      <c r="E1" s="471"/>
      <c r="F1" s="152"/>
      <c r="G1" s="152"/>
    </row>
    <row r="2" spans="1:7" ht="15.75" thickBot="1" x14ac:dyDescent="0.3">
      <c r="A2" s="2"/>
      <c r="B2" s="2"/>
      <c r="C2" s="2"/>
      <c r="D2" s="2"/>
      <c r="E2" s="2"/>
      <c r="F2" s="20"/>
      <c r="G2" s="20"/>
    </row>
    <row r="3" spans="1:7" ht="15" x14ac:dyDescent="0.25">
      <c r="A3" s="64" t="s">
        <v>17</v>
      </c>
      <c r="B3" s="58" t="str">
        <f>'Enter coordinates here'!$B$5</f>
        <v>N</v>
      </c>
      <c r="C3" s="59">
        <f>'Enter coordinates here'!$C$5</f>
        <v>52</v>
      </c>
      <c r="D3" s="59">
        <f>'Enter coordinates here'!$D$5</f>
        <v>39</v>
      </c>
      <c r="E3" s="60">
        <f>'Enter coordinates here'!$E$5</f>
        <v>16.152177459639301</v>
      </c>
      <c r="F3" s="2" t="s">
        <v>29</v>
      </c>
      <c r="G3" s="19"/>
    </row>
    <row r="4" spans="1:7" ht="15.75" thickBot="1" x14ac:dyDescent="0.3">
      <c r="A4" s="131" t="s">
        <v>19</v>
      </c>
      <c r="B4" s="169" t="str">
        <f>'Enter coordinates here'!$B$6</f>
        <v>E</v>
      </c>
      <c r="C4" s="62">
        <f>'Enter coordinates here'!$C$6</f>
        <v>1</v>
      </c>
      <c r="D4" s="62">
        <f>'Enter coordinates here'!$D$6</f>
        <v>43</v>
      </c>
      <c r="E4" s="63">
        <f>'Enter coordinates here'!$E$6</f>
        <v>73.852177459639293</v>
      </c>
      <c r="F4" s="153"/>
      <c r="G4" s="19"/>
    </row>
    <row r="5" spans="1:7" ht="15.75" thickBot="1" x14ac:dyDescent="0.3">
      <c r="A5" s="132" t="s">
        <v>93</v>
      </c>
      <c r="B5" s="170">
        <f>EllHeight</f>
        <v>24.7</v>
      </c>
      <c r="C5" s="80" t="s">
        <v>30</v>
      </c>
      <c r="D5" s="76"/>
      <c r="E5" s="76"/>
      <c r="F5" s="20"/>
      <c r="G5" s="19"/>
    </row>
    <row r="6" spans="1:7" ht="15" x14ac:dyDescent="0.25">
      <c r="A6" s="168" t="s">
        <v>54</v>
      </c>
      <c r="B6" s="218">
        <f>(B10+EllHeight)*(COS(PHI))*(COS(LAM))</f>
        <v>3875172.2162440559</v>
      </c>
      <c r="C6" s="158" t="s">
        <v>30</v>
      </c>
      <c r="D6" s="150"/>
      <c r="E6" s="151"/>
      <c r="F6" s="2" t="s">
        <v>31</v>
      </c>
      <c r="G6" s="20"/>
    </row>
    <row r="7" spans="1:7" ht="15" x14ac:dyDescent="0.25">
      <c r="A7" s="156" t="s">
        <v>100</v>
      </c>
      <c r="B7" s="159">
        <f>(B10+EllHeight)*(COS(PHI))*(SIN(LAM))</f>
        <v>117529.4200764163</v>
      </c>
      <c r="C7" s="158" t="s">
        <v>30</v>
      </c>
      <c r="D7" s="150"/>
      <c r="E7" s="151"/>
      <c r="F7" s="20"/>
      <c r="G7" s="20"/>
    </row>
    <row r="8" spans="1:7" ht="15.75" thickBot="1" x14ac:dyDescent="0.3">
      <c r="A8" s="157" t="s">
        <v>101</v>
      </c>
      <c r="B8" s="219">
        <f>(((1-B9)*B10)+EllHeight)*SIN(PHI)</f>
        <v>5046960.0759564796</v>
      </c>
      <c r="C8" s="158" t="s">
        <v>30</v>
      </c>
      <c r="D8" s="150"/>
      <c r="E8" s="151"/>
    </row>
    <row r="9" spans="1:7" ht="18" x14ac:dyDescent="0.25">
      <c r="A9" s="21" t="s">
        <v>32</v>
      </c>
      <c r="B9" s="140">
        <f>((a^2)-(b^2))/(a^2)</f>
        <v>6.6705400741490844E-3</v>
      </c>
      <c r="F9" s="2" t="s">
        <v>33</v>
      </c>
    </row>
    <row r="10" spans="1:7" ht="15" x14ac:dyDescent="0.25">
      <c r="A10" s="14" t="s">
        <v>34</v>
      </c>
      <c r="B10" s="140">
        <f>a/(SQRT(1-(B9*(SIN(PHI))^2)))</f>
        <v>6391049.5155016435</v>
      </c>
      <c r="F10" s="2" t="s">
        <v>35</v>
      </c>
    </row>
    <row r="11" spans="1:7" ht="13.5" thickBot="1" x14ac:dyDescent="0.25"/>
    <row r="12" spans="1:7" ht="15" x14ac:dyDescent="0.25">
      <c r="A12" s="155" t="s">
        <v>54</v>
      </c>
      <c r="B12" s="220">
        <f>Lat_Long_H_to_X(DecimalLat,DecimalLong,EllHeight,a,b)</f>
        <v>3875172.2162440605</v>
      </c>
      <c r="C12" s="158" t="s">
        <v>30</v>
      </c>
      <c r="D12" s="150"/>
      <c r="E12" s="151"/>
      <c r="F12" s="2" t="s">
        <v>106</v>
      </c>
    </row>
    <row r="13" spans="1:7" ht="15" x14ac:dyDescent="0.25">
      <c r="A13" s="156" t="s">
        <v>100</v>
      </c>
      <c r="B13" s="159">
        <f>Lat_Long_H_to_Y(DecimalLat,DecimalLong,EllHeight,a,b)</f>
        <v>117529.42007641633</v>
      </c>
      <c r="C13" s="158" t="s">
        <v>30</v>
      </c>
      <c r="D13" s="150"/>
      <c r="E13" s="151"/>
      <c r="F13" s="22" t="s">
        <v>108</v>
      </c>
    </row>
    <row r="14" spans="1:7" ht="15.75" thickBot="1" x14ac:dyDescent="0.3">
      <c r="A14" s="157" t="s">
        <v>101</v>
      </c>
      <c r="B14" s="219">
        <f>Lat_H_to_Z(DecimalLat,EllHeight,a,b)</f>
        <v>5046960.0759564759</v>
      </c>
      <c r="C14" s="158" t="s">
        <v>30</v>
      </c>
      <c r="D14" s="150"/>
      <c r="E14" s="151"/>
      <c r="F14" s="2" t="s">
        <v>147</v>
      </c>
    </row>
    <row r="15" spans="1:7" ht="15" x14ac:dyDescent="0.25">
      <c r="F15" s="22" t="s">
        <v>89</v>
      </c>
    </row>
  </sheetData>
  <sheetProtection sheet="1" objects="1" scenarios="1"/>
  <mergeCells count="1">
    <mergeCell ref="A1:E1"/>
  </mergeCells>
  <phoneticPr fontId="0"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2"/>
  <sheetViews>
    <sheetView topLeftCell="A5" workbookViewId="0">
      <selection activeCell="B11" sqref="B11"/>
    </sheetView>
  </sheetViews>
  <sheetFormatPr defaultRowHeight="15" x14ac:dyDescent="0.25"/>
  <cols>
    <col min="1" max="1" width="17.140625" style="234" customWidth="1"/>
    <col min="2" max="2" width="14.85546875" style="234" customWidth="1"/>
    <col min="3" max="3" width="4" style="234" customWidth="1"/>
    <col min="4" max="4" width="7.5703125" style="234" bestFit="1" customWidth="1"/>
    <col min="5" max="5" width="10.7109375" style="234" customWidth="1"/>
    <col min="6" max="6" width="17.5703125" style="234" customWidth="1"/>
    <col min="7" max="7" width="7.5703125" style="2" bestFit="1" customWidth="1"/>
    <col min="8" max="8" width="30.5703125" style="2" customWidth="1"/>
    <col min="9" max="9" width="13.7109375" style="2" customWidth="1"/>
    <col min="10" max="10" width="14.140625" style="2" customWidth="1"/>
    <col min="11" max="16384" width="9.140625" style="2"/>
  </cols>
  <sheetData>
    <row r="1" spans="1:10" ht="18.75" customHeight="1" x14ac:dyDescent="0.25">
      <c r="A1" s="494" t="s">
        <v>182</v>
      </c>
      <c r="B1" s="494"/>
      <c r="C1" s="494"/>
      <c r="D1" s="494"/>
      <c r="E1" s="494"/>
      <c r="F1" s="494"/>
      <c r="G1" s="494"/>
      <c r="H1" s="494"/>
      <c r="I1" s="494"/>
    </row>
    <row r="2" spans="1:10" ht="18.75" customHeight="1" x14ac:dyDescent="0.25">
      <c r="A2" s="494" t="s">
        <v>181</v>
      </c>
      <c r="B2" s="494"/>
      <c r="C2" s="494"/>
      <c r="D2" s="494"/>
      <c r="E2" s="494"/>
      <c r="F2" s="494"/>
      <c r="G2" s="494"/>
      <c r="H2" s="494"/>
      <c r="I2" s="494"/>
      <c r="J2" s="22"/>
    </row>
    <row r="3" spans="1:10" ht="18.75" customHeight="1" x14ac:dyDescent="0.25">
      <c r="A3" s="494" t="s">
        <v>236</v>
      </c>
      <c r="B3" s="494"/>
      <c r="C3" s="494"/>
      <c r="D3" s="494"/>
      <c r="E3" s="494"/>
      <c r="F3" s="494"/>
      <c r="G3" s="494"/>
      <c r="H3" s="494"/>
      <c r="I3" s="494"/>
    </row>
    <row r="4" spans="1:10" ht="18.75" customHeight="1" x14ac:dyDescent="0.25">
      <c r="A4" s="494" t="s">
        <v>250</v>
      </c>
      <c r="B4" s="494"/>
      <c r="C4" s="494"/>
      <c r="D4" s="494"/>
      <c r="E4" s="494"/>
      <c r="F4" s="494"/>
      <c r="G4" s="494"/>
      <c r="H4" s="494"/>
      <c r="I4" s="494"/>
    </row>
    <row r="5" spans="1:10" ht="18.75" customHeight="1" x14ac:dyDescent="0.25">
      <c r="A5" s="494" t="s">
        <v>183</v>
      </c>
      <c r="B5" s="494"/>
      <c r="C5" s="494"/>
      <c r="D5" s="494"/>
      <c r="E5" s="494"/>
      <c r="F5" s="494"/>
      <c r="G5" s="494"/>
      <c r="H5" s="494"/>
      <c r="I5" s="494"/>
    </row>
    <row r="6" spans="1:10" ht="18.75" customHeight="1" x14ac:dyDescent="0.25">
      <c r="A6" s="494" t="s">
        <v>180</v>
      </c>
      <c r="B6" s="494"/>
      <c r="C6" s="494"/>
      <c r="D6" s="494"/>
      <c r="E6" s="494"/>
      <c r="F6" s="494"/>
      <c r="G6" s="494"/>
      <c r="H6" s="494"/>
      <c r="I6" s="494"/>
    </row>
    <row r="7" spans="1:10" ht="18.75" customHeight="1" thickBot="1" x14ac:dyDescent="0.3">
      <c r="A7" s="440" t="s">
        <v>251</v>
      </c>
      <c r="B7" s="440"/>
      <c r="C7" s="440"/>
      <c r="D7" s="440"/>
      <c r="E7" s="440"/>
      <c r="F7" s="440"/>
      <c r="G7" s="440"/>
      <c r="H7" s="440"/>
      <c r="I7" s="440"/>
    </row>
    <row r="8" spans="1:10" ht="18.75" customHeight="1" thickBot="1" x14ac:dyDescent="0.3">
      <c r="A8" s="495" t="s">
        <v>248</v>
      </c>
      <c r="B8" s="496"/>
      <c r="C8" s="496"/>
      <c r="D8" s="496"/>
      <c r="E8" s="496"/>
      <c r="F8" s="496"/>
      <c r="G8" s="496"/>
      <c r="H8" s="496"/>
      <c r="I8" s="497"/>
    </row>
    <row r="9" spans="1:10" s="236" customFormat="1" x14ac:dyDescent="0.2">
      <c r="A9" s="485" t="s">
        <v>157</v>
      </c>
      <c r="B9" s="485"/>
      <c r="C9" s="485"/>
      <c r="D9" s="485"/>
      <c r="E9" s="485"/>
      <c r="F9" s="485"/>
      <c r="G9" s="485"/>
      <c r="H9" s="485"/>
      <c r="I9" s="485"/>
    </row>
    <row r="10" spans="1:10" s="236" customFormat="1" ht="15.75" thickBot="1" x14ac:dyDescent="0.25">
      <c r="A10" s="237"/>
      <c r="B10" s="237"/>
      <c r="C10" s="238" t="s">
        <v>1</v>
      </c>
      <c r="D10" s="238" t="s">
        <v>2</v>
      </c>
      <c r="E10" s="238" t="s">
        <v>3</v>
      </c>
      <c r="F10" s="238" t="s">
        <v>4</v>
      </c>
      <c r="G10" s="237"/>
      <c r="H10" s="237" t="s">
        <v>231</v>
      </c>
      <c r="I10" s="237"/>
    </row>
    <row r="11" spans="1:10" s="236" customFormat="1" x14ac:dyDescent="0.2">
      <c r="A11" s="239" t="s">
        <v>17</v>
      </c>
      <c r="B11" s="381" t="s">
        <v>6</v>
      </c>
      <c r="C11" s="382">
        <v>52</v>
      </c>
      <c r="D11" s="382">
        <v>39</v>
      </c>
      <c r="E11" s="383">
        <v>28.723002999999999</v>
      </c>
      <c r="F11" s="449">
        <f>IF(UPPER($B$11)="S",(((($E$11/60)+$D$11)/60)+$C$11)*-1,(((($E$11/60)+$D$11)/60)+$C$11))</f>
        <v>52.657978611944444</v>
      </c>
      <c r="G11" s="240" t="s">
        <v>154</v>
      </c>
      <c r="H11" s="237" t="s">
        <v>232</v>
      </c>
      <c r="I11" s="237"/>
    </row>
    <row r="12" spans="1:10" s="236" customFormat="1" ht="15.75" thickBot="1" x14ac:dyDescent="0.25">
      <c r="A12" s="241" t="s">
        <v>19</v>
      </c>
      <c r="B12" s="384" t="s">
        <v>88</v>
      </c>
      <c r="C12" s="385">
        <v>1</v>
      </c>
      <c r="D12" s="385">
        <v>42</v>
      </c>
      <c r="E12" s="386">
        <v>57.787253</v>
      </c>
      <c r="F12" s="450">
        <f>IF(UPPER($B$12)="W",(((($E$12/60)+$D$12)/60)+$C$12)*-1,(((($E$12/60)+$D$12)/60)+$C$12))</f>
        <v>1.7160520147222222</v>
      </c>
      <c r="G12" s="237"/>
      <c r="H12" s="237" t="s">
        <v>158</v>
      </c>
      <c r="I12" s="237"/>
    </row>
    <row r="13" spans="1:10" s="236" customFormat="1" ht="15.75" thickBot="1" x14ac:dyDescent="0.25">
      <c r="A13" s="242" t="s">
        <v>93</v>
      </c>
      <c r="B13" s="387">
        <v>69.391000000000005</v>
      </c>
      <c r="C13" s="243" t="s">
        <v>30</v>
      </c>
      <c r="D13" s="244"/>
      <c r="E13" s="244"/>
      <c r="F13" s="244"/>
      <c r="G13" s="237"/>
      <c r="H13" s="237" t="s">
        <v>159</v>
      </c>
      <c r="I13" s="237"/>
    </row>
    <row r="14" spans="1:10" s="236" customFormat="1" x14ac:dyDescent="0.2">
      <c r="A14" s="245" t="s">
        <v>54</v>
      </c>
      <c r="B14" s="246">
        <f>Lat_Long_H_to_X($F$11,$F$12,$B$13,$I$15,$I$16)</f>
        <v>3875311.4646044779</v>
      </c>
      <c r="C14" s="247" t="s">
        <v>30</v>
      </c>
      <c r="D14" s="248"/>
      <c r="E14" s="249"/>
      <c r="F14" s="249"/>
      <c r="G14" s="250" t="s">
        <v>155</v>
      </c>
      <c r="H14" s="492" t="s">
        <v>156</v>
      </c>
      <c r="I14" s="493"/>
    </row>
    <row r="15" spans="1:10" s="236" customFormat="1" x14ac:dyDescent="0.2">
      <c r="A15" s="252" t="s">
        <v>100</v>
      </c>
      <c r="B15" s="253">
        <f>Lat_Long_H_to_Y($F$11,$F$12,$B$13,$I$15,$I$16)</f>
        <v>116103.23384317366</v>
      </c>
      <c r="C15" s="247" t="s">
        <v>30</v>
      </c>
      <c r="D15" s="248"/>
      <c r="E15" s="249"/>
      <c r="F15" s="249"/>
      <c r="G15" s="237"/>
      <c r="H15" s="251" t="s">
        <v>169</v>
      </c>
      <c r="I15" s="374">
        <v>6378137</v>
      </c>
    </row>
    <row r="16" spans="1:10" s="236" customFormat="1" ht="15.75" thickBot="1" x14ac:dyDescent="0.25">
      <c r="A16" s="255" t="s">
        <v>101</v>
      </c>
      <c r="B16" s="256">
        <f>Lat_H_to_Z($F$11,$B$13,$I$15,$I$16)</f>
        <v>5047602.2912815996</v>
      </c>
      <c r="C16" s="247" t="s">
        <v>30</v>
      </c>
      <c r="D16" s="248"/>
      <c r="E16" s="249"/>
      <c r="F16" s="249"/>
      <c r="G16" s="237"/>
      <c r="H16" s="254" t="s">
        <v>170</v>
      </c>
      <c r="I16" s="375">
        <v>6356752.3141999999</v>
      </c>
    </row>
    <row r="17" spans="1:9" s="236" customFormat="1" ht="15.75" thickBot="1" x14ac:dyDescent="0.25">
      <c r="A17" s="257"/>
      <c r="B17" s="258"/>
      <c r="C17" s="259"/>
      <c r="D17" s="260"/>
      <c r="E17" s="261"/>
      <c r="F17" s="261"/>
      <c r="G17" s="262"/>
      <c r="H17" s="262"/>
      <c r="I17" s="262"/>
    </row>
    <row r="18" spans="1:9" s="236" customFormat="1" x14ac:dyDescent="0.2">
      <c r="A18" s="263"/>
      <c r="B18" s="264"/>
      <c r="C18" s="265"/>
      <c r="D18" s="265"/>
      <c r="E18" s="265"/>
      <c r="F18" s="265"/>
    </row>
    <row r="19" spans="1:9" s="236" customFormat="1" ht="15.75" thickBot="1" x14ac:dyDescent="0.25">
      <c r="A19" s="485" t="s">
        <v>160</v>
      </c>
      <c r="B19" s="485"/>
      <c r="C19" s="485"/>
      <c r="D19" s="485"/>
      <c r="E19" s="485"/>
      <c r="F19" s="485"/>
      <c r="G19" s="485"/>
      <c r="H19" s="485"/>
      <c r="I19" s="485"/>
    </row>
    <row r="20" spans="1:9" s="236" customFormat="1" ht="15.75" thickBot="1" x14ac:dyDescent="0.25">
      <c r="A20" s="237"/>
      <c r="B20" s="237"/>
      <c r="C20" s="237"/>
      <c r="D20" s="237"/>
      <c r="E20" s="237"/>
      <c r="F20" s="266"/>
      <c r="G20" s="237"/>
      <c r="H20" s="492" t="s">
        <v>161</v>
      </c>
      <c r="I20" s="493"/>
    </row>
    <row r="21" spans="1:9" s="236" customFormat="1" x14ac:dyDescent="0.2">
      <c r="A21" s="239" t="s">
        <v>54</v>
      </c>
      <c r="B21" s="451">
        <f>$B$14</f>
        <v>3875311.4646044779</v>
      </c>
      <c r="C21" s="243" t="s">
        <v>30</v>
      </c>
      <c r="D21" s="267" t="s">
        <v>154</v>
      </c>
      <c r="E21" s="237"/>
      <c r="F21" s="237"/>
      <c r="G21" s="237"/>
      <c r="H21" s="251" t="s">
        <v>162</v>
      </c>
      <c r="I21" s="374">
        <v>-446.44799999999998</v>
      </c>
    </row>
    <row r="22" spans="1:9" s="236" customFormat="1" x14ac:dyDescent="0.2">
      <c r="A22" s="241" t="s">
        <v>100</v>
      </c>
      <c r="B22" s="452">
        <f>$B$15</f>
        <v>116103.23384317366</v>
      </c>
      <c r="C22" s="243" t="s">
        <v>30</v>
      </c>
      <c r="D22" s="268"/>
      <c r="E22" s="299" t="s">
        <v>185</v>
      </c>
      <c r="F22" s="237"/>
      <c r="G22" s="237"/>
      <c r="H22" s="251" t="s">
        <v>163</v>
      </c>
      <c r="I22" s="374">
        <v>125.157</v>
      </c>
    </row>
    <row r="23" spans="1:9" s="236" customFormat="1" ht="15.75" thickBot="1" x14ac:dyDescent="0.25">
      <c r="A23" s="269" t="s">
        <v>101</v>
      </c>
      <c r="B23" s="453">
        <f>$B$16</f>
        <v>5047602.2912815996</v>
      </c>
      <c r="C23" s="243" t="s">
        <v>30</v>
      </c>
      <c r="D23" s="268"/>
      <c r="E23" s="300" t="s">
        <v>186</v>
      </c>
      <c r="F23" s="237"/>
      <c r="G23" s="237"/>
      <c r="H23" s="251" t="s">
        <v>164</v>
      </c>
      <c r="I23" s="374">
        <v>-542.05999999999995</v>
      </c>
    </row>
    <row r="24" spans="1:9" s="236" customFormat="1" x14ac:dyDescent="0.2">
      <c r="A24" s="270" t="s">
        <v>54</v>
      </c>
      <c r="B24" s="271">
        <f>Helmert_X($B$21,$B$22,$B$23,$I$21,$I$26,$I$27,$I$24)</f>
        <v>3874938.8489639023</v>
      </c>
      <c r="C24" s="272" t="s">
        <v>30</v>
      </c>
      <c r="D24" s="250" t="s">
        <v>155</v>
      </c>
      <c r="E24" s="300" t="s">
        <v>189</v>
      </c>
      <c r="F24" s="273"/>
      <c r="G24" s="237"/>
      <c r="H24" s="251" t="s">
        <v>165</v>
      </c>
      <c r="I24" s="376">
        <v>20.4894</v>
      </c>
    </row>
    <row r="25" spans="1:9" s="236" customFormat="1" x14ac:dyDescent="0.2">
      <c r="A25" s="274" t="s">
        <v>100</v>
      </c>
      <c r="B25" s="253">
        <f>Helmert_Y($B$21,$B$22,$B$23,$I$22,$I$25,$I$27,$I$24)</f>
        <v>116218.62393441409</v>
      </c>
      <c r="C25" s="272" t="s">
        <v>30</v>
      </c>
      <c r="D25" s="268"/>
      <c r="E25" s="300" t="s">
        <v>187</v>
      </c>
      <c r="F25" s="266"/>
      <c r="G25" s="237"/>
      <c r="H25" s="251" t="s">
        <v>166</v>
      </c>
      <c r="I25" s="376">
        <v>-0.1502</v>
      </c>
    </row>
    <row r="26" spans="1:9" s="236" customFormat="1" ht="15.75" thickBot="1" x14ac:dyDescent="0.25">
      <c r="A26" s="275" t="s">
        <v>101</v>
      </c>
      <c r="B26" s="256">
        <f>Helmert_Z($B$21,$B$22,$B$23,$I$23,$I$25,$I$26,$I$24)</f>
        <v>5047168.2097246768</v>
      </c>
      <c r="C26" s="272" t="s">
        <v>30</v>
      </c>
      <c r="D26" s="268"/>
      <c r="E26" s="237"/>
      <c r="F26" s="266"/>
      <c r="G26" s="237"/>
      <c r="H26" s="251" t="s">
        <v>167</v>
      </c>
      <c r="I26" s="376">
        <v>-0.247</v>
      </c>
    </row>
    <row r="27" spans="1:9" s="236" customFormat="1" ht="15.75" thickBot="1" x14ac:dyDescent="0.25">
      <c r="A27" s="276"/>
      <c r="B27" s="276"/>
      <c r="C27" s="276"/>
      <c r="D27" s="276"/>
      <c r="E27" s="276"/>
      <c r="F27" s="276"/>
      <c r="G27" s="277"/>
      <c r="H27" s="254" t="s">
        <v>168</v>
      </c>
      <c r="I27" s="377">
        <v>-0.84209999999999996</v>
      </c>
    </row>
    <row r="28" spans="1:9" s="236" customFormat="1" ht="15.75" thickBot="1" x14ac:dyDescent="0.25">
      <c r="A28" s="278"/>
      <c r="B28" s="278"/>
      <c r="C28" s="278"/>
      <c r="D28" s="278"/>
      <c r="E28" s="278"/>
      <c r="F28" s="278"/>
      <c r="G28" s="279"/>
      <c r="H28" s="280"/>
      <c r="I28" s="281"/>
    </row>
    <row r="29" spans="1:9" s="236" customFormat="1" x14ac:dyDescent="0.2">
      <c r="A29" s="265"/>
      <c r="B29" s="265"/>
      <c r="C29" s="265"/>
      <c r="D29" s="265"/>
      <c r="E29" s="265"/>
      <c r="F29" s="282"/>
    </row>
    <row r="30" spans="1:9" s="236" customFormat="1" x14ac:dyDescent="0.2">
      <c r="A30" s="485" t="s">
        <v>238</v>
      </c>
      <c r="B30" s="485"/>
      <c r="C30" s="485"/>
      <c r="D30" s="485"/>
      <c r="E30" s="485"/>
      <c r="F30" s="485"/>
      <c r="G30" s="485"/>
      <c r="H30" s="485"/>
      <c r="I30" s="485"/>
    </row>
    <row r="31" spans="1:9" s="236" customFormat="1" ht="15.75" thickBot="1" x14ac:dyDescent="0.25">
      <c r="A31" s="237"/>
      <c r="B31" s="237"/>
      <c r="C31" s="237"/>
      <c r="D31" s="237"/>
      <c r="E31" s="237"/>
      <c r="F31" s="237"/>
      <c r="G31" s="277"/>
      <c r="H31" s="237" t="s">
        <v>194</v>
      </c>
      <c r="I31" s="237"/>
    </row>
    <row r="32" spans="1:9" s="236" customFormat="1" ht="15" customHeight="1" x14ac:dyDescent="0.2">
      <c r="A32" s="239" t="s">
        <v>54</v>
      </c>
      <c r="B32" s="451">
        <f>$B$24</f>
        <v>3874938.8489639023</v>
      </c>
      <c r="C32" s="283" t="s">
        <v>30</v>
      </c>
      <c r="D32" s="284"/>
      <c r="E32" s="285"/>
      <c r="F32" s="244"/>
      <c r="G32" s="240" t="s">
        <v>154</v>
      </c>
      <c r="H32" s="237" t="s">
        <v>193</v>
      </c>
      <c r="I32" s="237"/>
    </row>
    <row r="33" spans="1:9" s="236" customFormat="1" ht="15" customHeight="1" x14ac:dyDescent="0.2">
      <c r="A33" s="241" t="s">
        <v>100</v>
      </c>
      <c r="B33" s="452">
        <f>$B$25</f>
        <v>116218.62393441409</v>
      </c>
      <c r="C33" s="283" t="s">
        <v>30</v>
      </c>
      <c r="D33" s="284"/>
      <c r="E33" s="285"/>
      <c r="F33" s="244"/>
      <c r="G33" s="237"/>
      <c r="H33" s="237" t="s">
        <v>192</v>
      </c>
      <c r="I33" s="237"/>
    </row>
    <row r="34" spans="1:9" s="236" customFormat="1" ht="15" customHeight="1" thickBot="1" x14ac:dyDescent="0.25">
      <c r="A34" s="242" t="s">
        <v>101</v>
      </c>
      <c r="B34" s="454">
        <f>$B$26</f>
        <v>5047168.2097246768</v>
      </c>
      <c r="C34" s="283" t="s">
        <v>30</v>
      </c>
      <c r="D34" s="284"/>
      <c r="E34" s="285"/>
      <c r="F34" s="244"/>
      <c r="G34" s="237"/>
      <c r="H34" s="237" t="s">
        <v>159</v>
      </c>
      <c r="I34" s="237"/>
    </row>
    <row r="35" spans="1:9" s="236" customFormat="1" ht="15.75" thickBot="1" x14ac:dyDescent="0.25">
      <c r="A35" s="237"/>
      <c r="B35" s="237"/>
      <c r="C35" s="238" t="s">
        <v>1</v>
      </c>
      <c r="D35" s="238" t="s">
        <v>2</v>
      </c>
      <c r="E35" s="238" t="s">
        <v>3</v>
      </c>
      <c r="F35" s="238" t="s">
        <v>4</v>
      </c>
      <c r="G35" s="237"/>
      <c r="H35" s="492" t="s">
        <v>171</v>
      </c>
      <c r="I35" s="493"/>
    </row>
    <row r="36" spans="1:9" s="236" customFormat="1" ht="15" customHeight="1" x14ac:dyDescent="0.2">
      <c r="A36" s="270" t="s">
        <v>17</v>
      </c>
      <c r="B36" s="388" t="str">
        <f>IF($F$36&gt;0,"N","S")</f>
        <v>N</v>
      </c>
      <c r="C36" s="389">
        <f>ABS(TRUNC($F$36))</f>
        <v>52</v>
      </c>
      <c r="D36" s="389">
        <f>TRUNC((ABS($F$36)-$C$36)*60)</f>
        <v>39</v>
      </c>
      <c r="E36" s="390">
        <f>((ABS($F$36))*3600)-($D$36*60)-($C$36*3600)</f>
        <v>27.253134655416943</v>
      </c>
      <c r="F36" s="286">
        <f>XYZ_to_Lat($B$32,$B$33,$B$34,$I$36,$I$37)</f>
        <v>52.657570315182063</v>
      </c>
      <c r="G36" s="250" t="s">
        <v>155</v>
      </c>
      <c r="H36" s="251" t="s">
        <v>169</v>
      </c>
      <c r="I36" s="374">
        <v>6377563.3959999997</v>
      </c>
    </row>
    <row r="37" spans="1:9" s="236" customFormat="1" ht="15" customHeight="1" thickBot="1" x14ac:dyDescent="0.25">
      <c r="A37" s="274" t="s">
        <v>19</v>
      </c>
      <c r="B37" s="391" t="str">
        <f>IF($F$37&lt;0,"W","E")</f>
        <v>E</v>
      </c>
      <c r="C37" s="392">
        <f>ABS(TRUNC($F$37))</f>
        <v>1</v>
      </c>
      <c r="D37" s="392">
        <f>TRUNC((ABS($F$37)-$C$37)*60)</f>
        <v>43</v>
      </c>
      <c r="E37" s="393">
        <f>((ABS($F$37))*3600)-($D$37*60)-($C$37*3600)</f>
        <v>4.5177098962049058</v>
      </c>
      <c r="F37" s="287">
        <f>XYZ_to_Long($B$32,$B$33)</f>
        <v>1.7179215860822792</v>
      </c>
      <c r="G37" s="288"/>
      <c r="H37" s="254" t="s">
        <v>170</v>
      </c>
      <c r="I37" s="375">
        <v>6356256.9100000001</v>
      </c>
    </row>
    <row r="38" spans="1:9" s="236" customFormat="1" ht="15" customHeight="1" thickBot="1" x14ac:dyDescent="0.25">
      <c r="A38" s="275" t="s">
        <v>237</v>
      </c>
      <c r="B38" s="289">
        <f>XYZ_to_H($B$32,$B$33,$B$34,$I$36,$I$37)</f>
        <v>24.700853383168578</v>
      </c>
      <c r="C38" s="272" t="s">
        <v>30</v>
      </c>
      <c r="D38" s="272"/>
      <c r="E38" s="272"/>
      <c r="F38" s="272"/>
      <c r="G38" s="288"/>
      <c r="H38" s="237"/>
      <c r="I38" s="237"/>
    </row>
    <row r="39" spans="1:9" s="236" customFormat="1" ht="15.75" thickBot="1" x14ac:dyDescent="0.25">
      <c r="A39" s="290"/>
      <c r="B39" s="290"/>
      <c r="C39" s="290"/>
      <c r="D39" s="290"/>
      <c r="E39" s="290"/>
      <c r="F39" s="290"/>
      <c r="G39" s="262"/>
      <c r="H39" s="262"/>
      <c r="I39" s="262"/>
    </row>
    <row r="40" spans="1:9" s="236" customFormat="1" x14ac:dyDescent="0.2">
      <c r="A40" s="265"/>
      <c r="B40" s="265"/>
      <c r="C40" s="265"/>
      <c r="D40" s="265"/>
      <c r="E40" s="265"/>
      <c r="F40" s="265"/>
    </row>
    <row r="41" spans="1:9" s="236" customFormat="1" x14ac:dyDescent="0.2">
      <c r="A41" s="485" t="s">
        <v>172</v>
      </c>
      <c r="B41" s="485"/>
      <c r="C41" s="485"/>
      <c r="D41" s="485"/>
      <c r="E41" s="485"/>
      <c r="F41" s="485"/>
      <c r="G41" s="485"/>
      <c r="H41" s="485"/>
      <c r="I41" s="485"/>
    </row>
    <row r="42" spans="1:9" s="236" customFormat="1" ht="15.75" thickBot="1" x14ac:dyDescent="0.25">
      <c r="A42" s="237"/>
      <c r="B42" s="237"/>
      <c r="C42" s="238" t="s">
        <v>1</v>
      </c>
      <c r="D42" s="238" t="s">
        <v>2</v>
      </c>
      <c r="E42" s="238" t="s">
        <v>3</v>
      </c>
      <c r="F42" s="238" t="s">
        <v>4</v>
      </c>
      <c r="G42" s="237"/>
      <c r="H42" s="237" t="s">
        <v>190</v>
      </c>
      <c r="I42" s="237"/>
    </row>
    <row r="43" spans="1:9" s="236" customFormat="1" x14ac:dyDescent="0.2">
      <c r="A43" s="239" t="s">
        <v>17</v>
      </c>
      <c r="B43" s="455" t="str">
        <f>IF($F$43&gt;0,"N","S")</f>
        <v>N</v>
      </c>
      <c r="C43" s="456">
        <f>ABS(TRUNC($F$43))</f>
        <v>52</v>
      </c>
      <c r="D43" s="456">
        <f>TRUNC((ABS($F$43)-$C$43)*60)</f>
        <v>39</v>
      </c>
      <c r="E43" s="457">
        <f>((ABS($F$43))*3600)-($D$43*60)-($C$43*3600)</f>
        <v>27.253134655416943</v>
      </c>
      <c r="F43" s="458">
        <f>$F$36</f>
        <v>52.657570315182063</v>
      </c>
      <c r="G43" s="240" t="s">
        <v>154</v>
      </c>
      <c r="H43" s="237" t="s">
        <v>191</v>
      </c>
      <c r="I43" s="237"/>
    </row>
    <row r="44" spans="1:9" s="236" customFormat="1" ht="15.75" thickBot="1" x14ac:dyDescent="0.25">
      <c r="A44" s="291" t="s">
        <v>19</v>
      </c>
      <c r="B44" s="459" t="str">
        <f>IF($F$44&lt;0,"W","E")</f>
        <v>E</v>
      </c>
      <c r="C44" s="460">
        <f>ABS(TRUNC($F$44))</f>
        <v>1</v>
      </c>
      <c r="D44" s="460">
        <f>TRUNC((ABS($F$44)-$C$44)*60)</f>
        <v>43</v>
      </c>
      <c r="E44" s="461">
        <f>((ABS($F$44))*3600)-($D$44*60)-($C$44*3600)</f>
        <v>4.5177098962049058</v>
      </c>
      <c r="F44" s="462">
        <f>$F$37</f>
        <v>1.7179215860822792</v>
      </c>
      <c r="G44" s="237"/>
      <c r="H44" s="237" t="s">
        <v>174</v>
      </c>
      <c r="I44" s="237"/>
    </row>
    <row r="45" spans="1:9" s="236" customFormat="1" ht="15.75" thickBot="1" x14ac:dyDescent="0.25">
      <c r="A45" s="270" t="s">
        <v>20</v>
      </c>
      <c r="B45" s="292">
        <f>Lat_Long_to_East($F$43,$F$44,$I$47,$I$48,$I$50,$I$49,$I$52,$I$53)</f>
        <v>651409.90306872525</v>
      </c>
      <c r="C45" s="272" t="s">
        <v>30</v>
      </c>
      <c r="D45" s="272"/>
      <c r="E45" s="272"/>
      <c r="F45" s="293"/>
      <c r="G45" s="250" t="s">
        <v>155</v>
      </c>
      <c r="H45" s="237" t="s">
        <v>159</v>
      </c>
      <c r="I45" s="237"/>
    </row>
    <row r="46" spans="1:9" s="236" customFormat="1" ht="15.75" thickBot="1" x14ac:dyDescent="0.25">
      <c r="A46" s="294" t="s">
        <v>23</v>
      </c>
      <c r="B46" s="295">
        <f>Lat_Long_to_North($F$43,$F$44,$I$47,$I$48,$I$50,$I$51,$I$49,$I$52,$I$53)</f>
        <v>313177.27142277436</v>
      </c>
      <c r="C46" s="272" t="s">
        <v>30</v>
      </c>
      <c r="D46" s="272"/>
      <c r="E46" s="272"/>
      <c r="F46" s="293"/>
      <c r="G46" s="237"/>
      <c r="H46" s="492" t="s">
        <v>173</v>
      </c>
      <c r="I46" s="493"/>
    </row>
    <row r="47" spans="1:9" s="236" customFormat="1" x14ac:dyDescent="0.2">
      <c r="A47" s="266"/>
      <c r="B47" s="266"/>
      <c r="C47" s="266"/>
      <c r="D47" s="266"/>
      <c r="E47" s="266"/>
      <c r="F47" s="266"/>
      <c r="G47" s="237"/>
      <c r="H47" s="251" t="s">
        <v>169</v>
      </c>
      <c r="I47" s="374">
        <v>6377563.3959999997</v>
      </c>
    </row>
    <row r="48" spans="1:9" s="236" customFormat="1" x14ac:dyDescent="0.2">
      <c r="A48" s="266"/>
      <c r="B48" s="266"/>
      <c r="C48" s="266"/>
      <c r="D48" s="266"/>
      <c r="E48" s="266"/>
      <c r="F48" s="266"/>
      <c r="G48" s="237"/>
      <c r="H48" s="251" t="s">
        <v>170</v>
      </c>
      <c r="I48" s="374">
        <v>6356256.9100000001</v>
      </c>
    </row>
    <row r="49" spans="1:9" s="236" customFormat="1" x14ac:dyDescent="0.2">
      <c r="A49" s="266"/>
      <c r="B49" s="266"/>
      <c r="C49" s="266"/>
      <c r="D49" s="266"/>
      <c r="E49" s="266"/>
      <c r="F49" s="266"/>
      <c r="G49" s="237"/>
      <c r="H49" s="251" t="s">
        <v>175</v>
      </c>
      <c r="I49" s="378">
        <v>0.99960127170000002</v>
      </c>
    </row>
    <row r="50" spans="1:9" s="236" customFormat="1" x14ac:dyDescent="0.2">
      <c r="A50" s="266"/>
      <c r="B50" s="266"/>
      <c r="C50" s="266"/>
      <c r="D50" s="266"/>
      <c r="E50" s="266"/>
      <c r="F50" s="266"/>
      <c r="G50" s="237"/>
      <c r="H50" s="251" t="s">
        <v>176</v>
      </c>
      <c r="I50" s="378">
        <v>400000</v>
      </c>
    </row>
    <row r="51" spans="1:9" s="236" customFormat="1" x14ac:dyDescent="0.2">
      <c r="A51" s="266"/>
      <c r="B51" s="266"/>
      <c r="C51" s="266"/>
      <c r="D51" s="266"/>
      <c r="E51" s="266"/>
      <c r="F51" s="266"/>
      <c r="G51" s="237"/>
      <c r="H51" s="251" t="s">
        <v>177</v>
      </c>
      <c r="I51" s="378">
        <v>-100000</v>
      </c>
    </row>
    <row r="52" spans="1:9" ht="16.5" x14ac:dyDescent="0.25">
      <c r="A52" s="235"/>
      <c r="B52" s="235"/>
      <c r="C52" s="235"/>
      <c r="D52" s="235"/>
      <c r="E52" s="235"/>
      <c r="F52" s="235"/>
      <c r="G52" s="3"/>
      <c r="H52" s="296" t="s">
        <v>178</v>
      </c>
      <c r="I52" s="379">
        <v>49</v>
      </c>
    </row>
    <row r="53" spans="1:9" ht="17.25" thickBot="1" x14ac:dyDescent="0.3">
      <c r="A53" s="235"/>
      <c r="B53" s="235"/>
      <c r="C53" s="235"/>
      <c r="D53" s="235"/>
      <c r="E53" s="235"/>
      <c r="F53" s="235"/>
      <c r="G53" s="3"/>
      <c r="H53" s="297" t="s">
        <v>179</v>
      </c>
      <c r="I53" s="380">
        <v>-2</v>
      </c>
    </row>
    <row r="54" spans="1:9" s="22" customFormat="1" ht="15.75" thickBot="1" x14ac:dyDescent="0.3">
      <c r="A54" s="448"/>
      <c r="B54" s="448"/>
      <c r="C54" s="448"/>
      <c r="D54" s="448"/>
      <c r="E54" s="448"/>
      <c r="F54" s="448"/>
    </row>
    <row r="55" spans="1:9" s="22" customFormat="1" ht="19.5" thickBot="1" x14ac:dyDescent="0.35">
      <c r="A55" s="498" t="s">
        <v>249</v>
      </c>
      <c r="B55" s="499"/>
      <c r="C55" s="499"/>
      <c r="D55" s="499"/>
      <c r="E55" s="499"/>
      <c r="F55" s="499"/>
      <c r="G55" s="499"/>
      <c r="H55" s="499"/>
      <c r="I55" s="500"/>
    </row>
    <row r="56" spans="1:9" x14ac:dyDescent="0.25">
      <c r="A56" s="485" t="s">
        <v>233</v>
      </c>
      <c r="B56" s="485"/>
      <c r="C56" s="485"/>
      <c r="D56" s="485"/>
      <c r="E56" s="485"/>
      <c r="F56" s="485"/>
      <c r="G56" s="485"/>
      <c r="H56" s="485"/>
      <c r="I56" s="485"/>
    </row>
    <row r="57" spans="1:9" ht="15.75" thickBot="1" x14ac:dyDescent="0.3">
      <c r="A57" s="237"/>
      <c r="B57" s="237"/>
      <c r="C57" s="238"/>
      <c r="D57" s="238"/>
      <c r="E57" s="238"/>
      <c r="F57" s="238"/>
      <c r="G57" s="237"/>
      <c r="H57" s="237" t="s">
        <v>239</v>
      </c>
      <c r="I57" s="237"/>
    </row>
    <row r="58" spans="1:9" x14ac:dyDescent="0.25">
      <c r="A58" s="239" t="s">
        <v>234</v>
      </c>
      <c r="B58" s="441">
        <v>651409.90312849672</v>
      </c>
      <c r="C58" s="463" t="s">
        <v>30</v>
      </c>
      <c r="D58" s="464"/>
      <c r="E58" s="465"/>
      <c r="F58" s="466"/>
      <c r="G58" s="240" t="s">
        <v>154</v>
      </c>
      <c r="H58" s="237" t="s">
        <v>240</v>
      </c>
      <c r="I58" s="237"/>
    </row>
    <row r="59" spans="1:9" ht="15.75" thickBot="1" x14ac:dyDescent="0.3">
      <c r="A59" s="241" t="s">
        <v>235</v>
      </c>
      <c r="B59" s="442">
        <v>313177.27026544977</v>
      </c>
      <c r="C59" s="463" t="s">
        <v>30</v>
      </c>
      <c r="D59" s="464"/>
      <c r="E59" s="465"/>
      <c r="F59" s="466"/>
      <c r="G59" s="237"/>
      <c r="H59" s="237" t="s">
        <v>241</v>
      </c>
      <c r="I59" s="237"/>
    </row>
    <row r="60" spans="1:9" ht="15.75" thickBot="1" x14ac:dyDescent="0.3">
      <c r="A60" s="237"/>
      <c r="B60" s="237"/>
      <c r="C60" s="238" t="s">
        <v>1</v>
      </c>
      <c r="D60" s="238" t="s">
        <v>2</v>
      </c>
      <c r="E60" s="238" t="s">
        <v>3</v>
      </c>
      <c r="F60" s="238" t="s">
        <v>4</v>
      </c>
      <c r="G60" s="237"/>
      <c r="H60" s="237" t="s">
        <v>242</v>
      </c>
      <c r="I60" s="237"/>
    </row>
    <row r="61" spans="1:9" x14ac:dyDescent="0.25">
      <c r="A61" s="270" t="s">
        <v>17</v>
      </c>
      <c r="B61" s="388" t="str">
        <f>IF($F$61&gt;0,"N","S")</f>
        <v>N</v>
      </c>
      <c r="C61" s="389">
        <f>ABS(TRUNC($F$61))</f>
        <v>52</v>
      </c>
      <c r="D61" s="389">
        <f>TRUNC((ABS($F$61)-$C$61)*60)</f>
        <v>39</v>
      </c>
      <c r="E61" s="390">
        <f>((ABS($F$61))*3600)-($D$61*60)-($C$61*3600)</f>
        <v>27.25309488052153</v>
      </c>
      <c r="F61" s="286">
        <f>E_N_to_Lat($B$58,$B$59,$I$62,$I$63,$I$65,$I$66,$I$64,$I$67,$I$68)</f>
        <v>52.657570304133479</v>
      </c>
      <c r="G61" s="250" t="s">
        <v>155</v>
      </c>
      <c r="H61" s="492" t="s">
        <v>173</v>
      </c>
      <c r="I61" s="493"/>
    </row>
    <row r="62" spans="1:9" ht="15.75" thickBot="1" x14ac:dyDescent="0.3">
      <c r="A62" s="274" t="s">
        <v>19</v>
      </c>
      <c r="B62" s="391" t="str">
        <f>IF($F$62&lt;0,"W","E")</f>
        <v>E</v>
      </c>
      <c r="C62" s="392">
        <f>ABS(TRUNC($F$62))</f>
        <v>1</v>
      </c>
      <c r="D62" s="392">
        <f>TRUNC((ABS($F$62)-$C$62)*60)</f>
        <v>43</v>
      </c>
      <c r="E62" s="393">
        <f>((ABS($F$62))*3600)-($D$62*60)-($C$62*3600)</f>
        <v>4.5176991673124576</v>
      </c>
      <c r="F62" s="287">
        <f>E_N_to_Long($B$58,$B$59,$I$62,$I$63,$I$65,$I$66,$I$64,$I$67,$I$68)</f>
        <v>1.7179215831020314</v>
      </c>
      <c r="G62" s="237"/>
      <c r="H62" s="251" t="s">
        <v>169</v>
      </c>
      <c r="I62" s="374">
        <v>6377563.3959999997</v>
      </c>
    </row>
    <row r="63" spans="1:9" ht="15.75" thickBot="1" x14ac:dyDescent="0.3">
      <c r="A63" s="275" t="s">
        <v>237</v>
      </c>
      <c r="B63" s="468">
        <v>24.700095830485225</v>
      </c>
      <c r="C63" s="272" t="s">
        <v>30</v>
      </c>
      <c r="D63" s="272"/>
      <c r="E63" s="272"/>
      <c r="F63" s="272"/>
      <c r="G63" s="237"/>
      <c r="H63" s="251" t="s">
        <v>170</v>
      </c>
      <c r="I63" s="374">
        <v>6356256.9100000001</v>
      </c>
    </row>
    <row r="64" spans="1:9" x14ac:dyDescent="0.25">
      <c r="A64" s="266"/>
      <c r="B64" s="266"/>
      <c r="C64" s="266"/>
      <c r="D64" s="266"/>
      <c r="E64" s="266"/>
      <c r="F64" s="266"/>
      <c r="G64" s="237"/>
      <c r="H64" s="251" t="s">
        <v>175</v>
      </c>
      <c r="I64" s="378">
        <v>0.99960127170000002</v>
      </c>
    </row>
    <row r="65" spans="1:9" x14ac:dyDescent="0.25">
      <c r="A65" s="266"/>
      <c r="B65" s="266"/>
      <c r="C65" s="266"/>
      <c r="D65" s="266"/>
      <c r="E65" s="266"/>
      <c r="F65" s="266"/>
      <c r="G65" s="237"/>
      <c r="H65" s="251" t="s">
        <v>176</v>
      </c>
      <c r="I65" s="378">
        <v>400000</v>
      </c>
    </row>
    <row r="66" spans="1:9" x14ac:dyDescent="0.25">
      <c r="A66" s="266"/>
      <c r="B66" s="266"/>
      <c r="C66" s="266"/>
      <c r="D66" s="266"/>
      <c r="E66" s="266"/>
      <c r="F66" s="266"/>
      <c r="G66" s="237"/>
      <c r="H66" s="251" t="s">
        <v>177</v>
      </c>
      <c r="I66" s="378">
        <v>-100000</v>
      </c>
    </row>
    <row r="67" spans="1:9" ht="16.5" x14ac:dyDescent="0.25">
      <c r="A67" s="266"/>
      <c r="B67" s="266"/>
      <c r="C67" s="266"/>
      <c r="D67" s="266"/>
      <c r="E67" s="266"/>
      <c r="F67" s="266"/>
      <c r="G67" s="237"/>
      <c r="H67" s="296" t="s">
        <v>178</v>
      </c>
      <c r="I67" s="379">
        <v>49</v>
      </c>
    </row>
    <row r="68" spans="1:9" ht="17.25" thickBot="1" x14ac:dyDescent="0.3">
      <c r="A68" s="266"/>
      <c r="B68" s="266"/>
      <c r="C68" s="266"/>
      <c r="D68" s="266"/>
      <c r="E68" s="266"/>
      <c r="F68" s="266"/>
      <c r="G68" s="237"/>
      <c r="H68" s="297" t="s">
        <v>179</v>
      </c>
      <c r="I68" s="380">
        <v>-2</v>
      </c>
    </row>
    <row r="69" spans="1:9" ht="15.75" thickBot="1" x14ac:dyDescent="0.3">
      <c r="A69" s="257"/>
      <c r="B69" s="258"/>
      <c r="C69" s="259"/>
      <c r="D69" s="260"/>
      <c r="E69" s="261"/>
      <c r="F69" s="261"/>
      <c r="G69" s="262"/>
      <c r="H69" s="262"/>
      <c r="I69" s="262"/>
    </row>
    <row r="70" spans="1:9" x14ac:dyDescent="0.25">
      <c r="A70" s="443"/>
      <c r="B70" s="444"/>
      <c r="C70" s="445"/>
      <c r="D70" s="318"/>
      <c r="E70" s="446"/>
      <c r="F70" s="446"/>
      <c r="G70" s="447"/>
      <c r="H70" s="447"/>
      <c r="I70" s="447"/>
    </row>
    <row r="71" spans="1:9" x14ac:dyDescent="0.25">
      <c r="A71" s="485" t="s">
        <v>243</v>
      </c>
      <c r="B71" s="485"/>
      <c r="C71" s="485"/>
      <c r="D71" s="485"/>
      <c r="E71" s="485"/>
      <c r="F71" s="485"/>
      <c r="G71" s="485"/>
      <c r="H71" s="485"/>
      <c r="I71" s="485"/>
    </row>
    <row r="72" spans="1:9" ht="15.75" thickBot="1" x14ac:dyDescent="0.3">
      <c r="A72" s="237"/>
      <c r="B72" s="237"/>
      <c r="C72" s="238" t="s">
        <v>1</v>
      </c>
      <c r="D72" s="238" t="s">
        <v>2</v>
      </c>
      <c r="E72" s="238" t="s">
        <v>3</v>
      </c>
      <c r="F72" s="238" t="s">
        <v>4</v>
      </c>
      <c r="G72" s="237"/>
      <c r="H72" s="237" t="s">
        <v>244</v>
      </c>
      <c r="I72" s="237"/>
    </row>
    <row r="73" spans="1:9" x14ac:dyDescent="0.25">
      <c r="A73" s="239" t="s">
        <v>17</v>
      </c>
      <c r="B73" s="455" t="str">
        <f>IF($F$73&gt;0,"N","S")</f>
        <v>N</v>
      </c>
      <c r="C73" s="456">
        <f>ABS(TRUNC($F$73))</f>
        <v>52</v>
      </c>
      <c r="D73" s="456">
        <f>TRUNC((ABS($F$73)-$C$73)*60)</f>
        <v>39</v>
      </c>
      <c r="E73" s="457">
        <f>((ABS($F$73))*3600)-($D$73*60)-($C$73*3600)</f>
        <v>27.25309488052153</v>
      </c>
      <c r="F73" s="449">
        <f>$F$61</f>
        <v>52.657570304133479</v>
      </c>
      <c r="G73" s="240" t="s">
        <v>154</v>
      </c>
      <c r="H73" s="237" t="s">
        <v>191</v>
      </c>
      <c r="I73" s="237"/>
    </row>
    <row r="74" spans="1:9" ht="15.75" thickBot="1" x14ac:dyDescent="0.3">
      <c r="A74" s="241" t="s">
        <v>19</v>
      </c>
      <c r="B74" s="459" t="str">
        <f>IF($F$74&lt;0,"W","E")</f>
        <v>E</v>
      </c>
      <c r="C74" s="460">
        <f>ABS(TRUNC($F$74))</f>
        <v>1</v>
      </c>
      <c r="D74" s="460">
        <f>TRUNC((ABS($F$74)-$C$74)*60)</f>
        <v>43</v>
      </c>
      <c r="E74" s="461">
        <f>((ABS($F$74))*3600)-($D$74*60)-($C$74*3600)</f>
        <v>4.5176991673124576</v>
      </c>
      <c r="F74" s="450">
        <f>$F$62</f>
        <v>1.7179215831020314</v>
      </c>
      <c r="G74" s="237"/>
      <c r="H74" s="237" t="s">
        <v>158</v>
      </c>
      <c r="I74" s="237"/>
    </row>
    <row r="75" spans="1:9" ht="15.75" thickBot="1" x14ac:dyDescent="0.3">
      <c r="A75" s="242" t="s">
        <v>237</v>
      </c>
      <c r="B75" s="467">
        <f>$B$63</f>
        <v>24.700095830485225</v>
      </c>
      <c r="C75" s="243" t="s">
        <v>30</v>
      </c>
      <c r="D75" s="244"/>
      <c r="E75" s="244"/>
      <c r="F75" s="244"/>
      <c r="G75" s="237"/>
      <c r="H75" s="237" t="s">
        <v>159</v>
      </c>
      <c r="I75" s="237"/>
    </row>
    <row r="76" spans="1:9" x14ac:dyDescent="0.25">
      <c r="A76" s="245" t="s">
        <v>54</v>
      </c>
      <c r="B76" s="246">
        <f>Lat_Long_H_to_X($F$73,$F$74,$B$75,$I$77,$I$78)</f>
        <v>3874938.8494875878</v>
      </c>
      <c r="C76" s="247" t="s">
        <v>30</v>
      </c>
      <c r="D76" s="248"/>
      <c r="E76" s="249"/>
      <c r="F76" s="249"/>
      <c r="G76" s="250" t="s">
        <v>155</v>
      </c>
      <c r="H76" s="492" t="s">
        <v>171</v>
      </c>
      <c r="I76" s="493"/>
    </row>
    <row r="77" spans="1:9" x14ac:dyDescent="0.25">
      <c r="A77" s="252" t="s">
        <v>100</v>
      </c>
      <c r="B77" s="253">
        <f>Lat_Long_H_to_Y($F$73,$F$74,$B$75,$I$77,$I$78)</f>
        <v>116218.62374838388</v>
      </c>
      <c r="C77" s="247" t="s">
        <v>30</v>
      </c>
      <c r="D77" s="248"/>
      <c r="E77" s="249"/>
      <c r="F77" s="249"/>
      <c r="G77" s="237"/>
      <c r="H77" s="251" t="s">
        <v>169</v>
      </c>
      <c r="I77" s="374">
        <v>6377563.3959999997</v>
      </c>
    </row>
    <row r="78" spans="1:9" ht="15.75" thickBot="1" x14ac:dyDescent="0.3">
      <c r="A78" s="255" t="s">
        <v>101</v>
      </c>
      <c r="B78" s="256">
        <f>Lat_H_to_Z($F$73,$B$75,$I$77,$I$78)</f>
        <v>5047168.2083774889</v>
      </c>
      <c r="C78" s="247" t="s">
        <v>30</v>
      </c>
      <c r="D78" s="248"/>
      <c r="E78" s="249"/>
      <c r="F78" s="249"/>
      <c r="G78" s="237"/>
      <c r="H78" s="254" t="s">
        <v>170</v>
      </c>
      <c r="I78" s="375">
        <v>6356256.9100000001</v>
      </c>
    </row>
    <row r="79" spans="1:9" ht="15.75" thickBot="1" x14ac:dyDescent="0.3">
      <c r="A79" s="257"/>
      <c r="B79" s="258"/>
      <c r="C79" s="259"/>
      <c r="D79" s="260"/>
      <c r="E79" s="261"/>
      <c r="F79" s="261"/>
      <c r="G79" s="262"/>
      <c r="H79" s="262"/>
      <c r="I79" s="262"/>
    </row>
    <row r="80" spans="1:9" x14ac:dyDescent="0.25">
      <c r="A80" s="263"/>
      <c r="B80" s="264"/>
      <c r="C80" s="265"/>
      <c r="D80" s="265"/>
      <c r="E80" s="265"/>
      <c r="F80" s="265"/>
      <c r="G80" s="236"/>
      <c r="H80" s="236"/>
      <c r="I80" s="236"/>
    </row>
    <row r="81" spans="1:9" ht="15.75" thickBot="1" x14ac:dyDescent="0.3">
      <c r="A81" s="485" t="s">
        <v>245</v>
      </c>
      <c r="B81" s="485"/>
      <c r="C81" s="485"/>
      <c r="D81" s="485"/>
      <c r="E81" s="485"/>
      <c r="F81" s="485"/>
      <c r="G81" s="485"/>
      <c r="H81" s="485"/>
      <c r="I81" s="485"/>
    </row>
    <row r="82" spans="1:9" ht="15.75" thickBot="1" x14ac:dyDescent="0.3">
      <c r="A82" s="237"/>
      <c r="B82" s="237"/>
      <c r="C82" s="237"/>
      <c r="D82" s="237"/>
      <c r="E82" s="237"/>
      <c r="F82" s="266"/>
      <c r="G82" s="237"/>
      <c r="H82" s="492" t="s">
        <v>246</v>
      </c>
      <c r="I82" s="493"/>
    </row>
    <row r="83" spans="1:9" x14ac:dyDescent="0.25">
      <c r="A83" s="239" t="s">
        <v>54</v>
      </c>
      <c r="B83" s="451">
        <f>$B$76</f>
        <v>3874938.8494875878</v>
      </c>
      <c r="C83" s="243" t="s">
        <v>30</v>
      </c>
      <c r="D83" s="267" t="s">
        <v>154</v>
      </c>
      <c r="E83" s="237"/>
      <c r="F83" s="237"/>
      <c r="G83" s="237"/>
      <c r="H83" s="251" t="s">
        <v>162</v>
      </c>
      <c r="I83" s="374">
        <v>446.44799999999998</v>
      </c>
    </row>
    <row r="84" spans="1:9" x14ac:dyDescent="0.25">
      <c r="A84" s="241" t="s">
        <v>100</v>
      </c>
      <c r="B84" s="452">
        <f>$B$77</f>
        <v>116218.62374838388</v>
      </c>
      <c r="C84" s="243" t="s">
        <v>30</v>
      </c>
      <c r="D84" s="268"/>
      <c r="E84" s="299" t="s">
        <v>185</v>
      </c>
      <c r="F84" s="237"/>
      <c r="G84" s="237"/>
      <c r="H84" s="251" t="s">
        <v>163</v>
      </c>
      <c r="I84" s="374">
        <v>-125.157</v>
      </c>
    </row>
    <row r="85" spans="1:9" ht="15.75" thickBot="1" x14ac:dyDescent="0.3">
      <c r="A85" s="269" t="s">
        <v>101</v>
      </c>
      <c r="B85" s="453">
        <f>$B$78</f>
        <v>5047168.2083774889</v>
      </c>
      <c r="C85" s="243" t="s">
        <v>30</v>
      </c>
      <c r="D85" s="268"/>
      <c r="E85" s="300" t="s">
        <v>186</v>
      </c>
      <c r="F85" s="237"/>
      <c r="G85" s="237"/>
      <c r="H85" s="251" t="s">
        <v>164</v>
      </c>
      <c r="I85" s="374">
        <v>542.05999999999995</v>
      </c>
    </row>
    <row r="86" spans="1:9" x14ac:dyDescent="0.25">
      <c r="A86" s="270" t="s">
        <v>54</v>
      </c>
      <c r="B86" s="271">
        <f>Helmert_X($B$83,$B$84,$B$85,$I$83,$I$88,$I$89,$I$86)</f>
        <v>3875311.471771921</v>
      </c>
      <c r="C86" s="272" t="s">
        <v>30</v>
      </c>
      <c r="D86" s="250" t="s">
        <v>155</v>
      </c>
      <c r="E86" s="300" t="s">
        <v>189</v>
      </c>
      <c r="F86" s="273"/>
      <c r="G86" s="237"/>
      <c r="H86" s="251" t="s">
        <v>165</v>
      </c>
      <c r="I86" s="376">
        <v>-20.4894</v>
      </c>
    </row>
    <row r="87" spans="1:9" x14ac:dyDescent="0.25">
      <c r="A87" s="274" t="s">
        <v>100</v>
      </c>
      <c r="B87" s="253">
        <f>Helmert_Y($B$83,$B$84,$B$85,$I$84,$I$87,$I$89,$I$86)</f>
        <v>116103.23008772398</v>
      </c>
      <c r="C87" s="272" t="s">
        <v>30</v>
      </c>
      <c r="D87" s="268"/>
      <c r="E87" s="300" t="s">
        <v>187</v>
      </c>
      <c r="F87" s="266"/>
      <c r="G87" s="237"/>
      <c r="H87" s="251" t="s">
        <v>166</v>
      </c>
      <c r="I87" s="376">
        <v>0.1502</v>
      </c>
    </row>
    <row r="88" spans="1:9" ht="15.75" thickBot="1" x14ac:dyDescent="0.3">
      <c r="A88" s="275" t="s">
        <v>101</v>
      </c>
      <c r="B88" s="256">
        <f>Helmert_Z($B$83,$B$84,$B$85,$I$85,$I$87,$I$88,$I$86)</f>
        <v>5047602.2993587386</v>
      </c>
      <c r="C88" s="272" t="s">
        <v>30</v>
      </c>
      <c r="D88" s="268"/>
      <c r="E88" s="237"/>
      <c r="F88" s="266"/>
      <c r="G88" s="237"/>
      <c r="H88" s="251" t="s">
        <v>167</v>
      </c>
      <c r="I88" s="376">
        <v>0.247</v>
      </c>
    </row>
    <row r="89" spans="1:9" ht="15.75" thickBot="1" x14ac:dyDescent="0.3">
      <c r="A89" s="276"/>
      <c r="B89" s="276"/>
      <c r="C89" s="276"/>
      <c r="D89" s="276"/>
      <c r="E89" s="276"/>
      <c r="F89" s="276"/>
      <c r="G89" s="277"/>
      <c r="H89" s="254" t="s">
        <v>168</v>
      </c>
      <c r="I89" s="377">
        <v>0.84209999999999996</v>
      </c>
    </row>
    <row r="90" spans="1:9" ht="15.75" thickBot="1" x14ac:dyDescent="0.3">
      <c r="A90" s="278"/>
      <c r="B90" s="278"/>
      <c r="C90" s="278"/>
      <c r="D90" s="278"/>
      <c r="E90" s="278"/>
      <c r="F90" s="278"/>
      <c r="G90" s="279"/>
      <c r="H90" s="280"/>
      <c r="I90" s="281"/>
    </row>
    <row r="91" spans="1:9" x14ac:dyDescent="0.25">
      <c r="A91" s="265"/>
      <c r="B91" s="265"/>
      <c r="C91" s="265"/>
      <c r="D91" s="265"/>
      <c r="E91" s="265"/>
      <c r="F91" s="282"/>
      <c r="G91" s="236"/>
      <c r="H91" s="236"/>
      <c r="I91" s="236"/>
    </row>
    <row r="92" spans="1:9" x14ac:dyDescent="0.25">
      <c r="A92" s="485" t="s">
        <v>247</v>
      </c>
      <c r="B92" s="485"/>
      <c r="C92" s="485"/>
      <c r="D92" s="485"/>
      <c r="E92" s="485"/>
      <c r="F92" s="485"/>
      <c r="G92" s="485"/>
      <c r="H92" s="485"/>
      <c r="I92" s="485"/>
    </row>
    <row r="93" spans="1:9" ht="15.75" thickBot="1" x14ac:dyDescent="0.3">
      <c r="A93" s="237"/>
      <c r="B93" s="237"/>
      <c r="C93" s="237"/>
      <c r="D93" s="237"/>
      <c r="E93" s="237"/>
      <c r="F93" s="237"/>
      <c r="G93" s="277"/>
      <c r="H93" s="237" t="s">
        <v>194</v>
      </c>
      <c r="I93" s="237"/>
    </row>
    <row r="94" spans="1:9" x14ac:dyDescent="0.25">
      <c r="A94" s="239" t="s">
        <v>54</v>
      </c>
      <c r="B94" s="451">
        <f>$B$86</f>
        <v>3875311.471771921</v>
      </c>
      <c r="C94" s="283" t="s">
        <v>30</v>
      </c>
      <c r="D94" s="284"/>
      <c r="E94" s="285"/>
      <c r="F94" s="244"/>
      <c r="G94" s="240" t="s">
        <v>154</v>
      </c>
      <c r="H94" s="237" t="s">
        <v>193</v>
      </c>
      <c r="I94" s="237"/>
    </row>
    <row r="95" spans="1:9" x14ac:dyDescent="0.25">
      <c r="A95" s="241" t="s">
        <v>100</v>
      </c>
      <c r="B95" s="452">
        <f>$B$87</f>
        <v>116103.23008772398</v>
      </c>
      <c r="C95" s="283" t="s">
        <v>30</v>
      </c>
      <c r="D95" s="284"/>
      <c r="E95" s="285"/>
      <c r="F95" s="244"/>
      <c r="G95" s="237"/>
      <c r="H95" s="237" t="s">
        <v>192</v>
      </c>
      <c r="I95" s="237"/>
    </row>
    <row r="96" spans="1:9" ht="15.75" thickBot="1" x14ac:dyDescent="0.3">
      <c r="A96" s="242" t="s">
        <v>101</v>
      </c>
      <c r="B96" s="454">
        <f>$B$88</f>
        <v>5047602.2993587386</v>
      </c>
      <c r="C96" s="283" t="s">
        <v>30</v>
      </c>
      <c r="D96" s="284"/>
      <c r="E96" s="285"/>
      <c r="F96" s="244"/>
      <c r="G96" s="237"/>
      <c r="H96" s="237" t="s">
        <v>159</v>
      </c>
      <c r="I96" s="237"/>
    </row>
    <row r="97" spans="1:9" ht="15.75" thickBot="1" x14ac:dyDescent="0.3">
      <c r="A97" s="237"/>
      <c r="B97" s="237"/>
      <c r="C97" s="238" t="s">
        <v>1</v>
      </c>
      <c r="D97" s="238" t="s">
        <v>2</v>
      </c>
      <c r="E97" s="238" t="s">
        <v>3</v>
      </c>
      <c r="F97" s="238" t="s">
        <v>4</v>
      </c>
      <c r="G97" s="237"/>
      <c r="H97" s="492" t="s">
        <v>156</v>
      </c>
      <c r="I97" s="493"/>
    </row>
    <row r="98" spans="1:9" x14ac:dyDescent="0.25">
      <c r="A98" s="270" t="s">
        <v>17</v>
      </c>
      <c r="B98" s="388" t="str">
        <f>IF($F$98&gt;0,"N","S")</f>
        <v>N</v>
      </c>
      <c r="C98" s="389">
        <f>ABS(TRUNC($F$98))</f>
        <v>52</v>
      </c>
      <c r="D98" s="389">
        <f>TRUNC((ABS($F$98)-$C$98)*60)</f>
        <v>39</v>
      </c>
      <c r="E98" s="390">
        <f>((ABS($F$98))*3600)-($D$98*60)-($C$98*3600)</f>
        <v>28.722980172897223</v>
      </c>
      <c r="F98" s="286">
        <f>XYZ_to_Lat($B$94,$B$95,$B$96,$I$98,$I$99)</f>
        <v>52.657978605603581</v>
      </c>
      <c r="G98" s="250" t="s">
        <v>155</v>
      </c>
      <c r="H98" s="251" t="s">
        <v>169</v>
      </c>
      <c r="I98" s="374">
        <v>6378137</v>
      </c>
    </row>
    <row r="99" spans="1:9" ht="15.75" thickBot="1" x14ac:dyDescent="0.3">
      <c r="A99" s="274" t="s">
        <v>19</v>
      </c>
      <c r="B99" s="391" t="str">
        <f>IF($F$99&lt;0,"W","E")</f>
        <v>E</v>
      </c>
      <c r="C99" s="392">
        <f>ABS(TRUNC($F$99))</f>
        <v>1</v>
      </c>
      <c r="D99" s="392">
        <f>TRUNC((ABS($F$99)-$C$99)*60)</f>
        <v>42</v>
      </c>
      <c r="E99" s="393">
        <f>((ABS($F$99))*3600)-($D$99*60)-($C$99*3600)</f>
        <v>57.787041875059913</v>
      </c>
      <c r="F99" s="287">
        <f>XYZ_to_Long($B$94,$B$95)</f>
        <v>1.7160519560764056</v>
      </c>
      <c r="G99" s="288"/>
      <c r="H99" s="254" t="s">
        <v>170</v>
      </c>
      <c r="I99" s="375">
        <v>6356752.3141999999</v>
      </c>
    </row>
    <row r="100" spans="1:9" ht="15.75" thickBot="1" x14ac:dyDescent="0.3">
      <c r="A100" s="275" t="s">
        <v>93</v>
      </c>
      <c r="B100" s="289">
        <f>XYZ_to_H($B$94,$B$95,$B$96,$I$98,$I$99)</f>
        <v>69.40170076303184</v>
      </c>
      <c r="C100" s="272" t="s">
        <v>30</v>
      </c>
      <c r="D100" s="272"/>
      <c r="E100" s="272"/>
      <c r="F100" s="272"/>
      <c r="G100" s="288"/>
      <c r="H100" s="237"/>
      <c r="I100" s="237"/>
    </row>
    <row r="101" spans="1:9" ht="15.75" thickBot="1" x14ac:dyDescent="0.3">
      <c r="A101" s="290"/>
      <c r="B101" s="290"/>
      <c r="C101" s="290"/>
      <c r="D101" s="290"/>
      <c r="E101" s="290"/>
      <c r="F101" s="290"/>
      <c r="G101" s="262"/>
      <c r="H101" s="262"/>
      <c r="I101" s="262"/>
    </row>
    <row r="102" spans="1:9" x14ac:dyDescent="0.25">
      <c r="A102" s="265"/>
      <c r="B102" s="265"/>
      <c r="C102" s="265"/>
      <c r="D102" s="265"/>
      <c r="E102" s="265"/>
      <c r="F102" s="265"/>
      <c r="G102" s="236"/>
      <c r="H102" s="236"/>
      <c r="I102" s="236"/>
    </row>
  </sheetData>
  <sheetProtection sheet="1" objects="1" scenarios="1"/>
  <mergeCells count="24">
    <mergeCell ref="A1:I1"/>
    <mergeCell ref="A3:I3"/>
    <mergeCell ref="A5:I5"/>
    <mergeCell ref="A6:I6"/>
    <mergeCell ref="A2:I2"/>
    <mergeCell ref="H82:I82"/>
    <mergeCell ref="H76:I76"/>
    <mergeCell ref="A8:I8"/>
    <mergeCell ref="A55:I55"/>
    <mergeCell ref="A30:I30"/>
    <mergeCell ref="A4:I4"/>
    <mergeCell ref="H46:I46"/>
    <mergeCell ref="A56:I56"/>
    <mergeCell ref="H61:I61"/>
    <mergeCell ref="A81:I81"/>
    <mergeCell ref="A9:I9"/>
    <mergeCell ref="A19:I19"/>
    <mergeCell ref="A71:I71"/>
    <mergeCell ref="A41:I41"/>
    <mergeCell ref="H20:I20"/>
    <mergeCell ref="H35:I35"/>
    <mergeCell ref="H14:I14"/>
    <mergeCell ref="A92:I92"/>
    <mergeCell ref="H97:I97"/>
  </mergeCells>
  <phoneticPr fontId="0"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0"/>
  <sheetViews>
    <sheetView workbookViewId="0">
      <selection activeCell="A21" sqref="A21"/>
    </sheetView>
  </sheetViews>
  <sheetFormatPr defaultRowHeight="15" x14ac:dyDescent="0.25"/>
  <cols>
    <col min="1" max="1" width="13.5703125" style="2" customWidth="1"/>
    <col min="2" max="2" width="16.42578125" style="2" customWidth="1"/>
    <col min="3" max="3" width="4.85546875" style="2" customWidth="1"/>
    <col min="4" max="4" width="10.85546875" style="2" customWidth="1"/>
    <col min="5" max="5" width="17.42578125" style="2" customWidth="1"/>
    <col min="6" max="6" width="12.7109375" style="2" customWidth="1"/>
    <col min="7" max="16384" width="9.140625" style="2"/>
  </cols>
  <sheetData>
    <row r="1" spans="1:8" x14ac:dyDescent="0.25">
      <c r="A1" s="471" t="s">
        <v>58</v>
      </c>
      <c r="B1" s="471"/>
      <c r="C1" s="471"/>
      <c r="D1" s="471"/>
      <c r="E1" s="471"/>
      <c r="F1" s="471"/>
    </row>
    <row r="2" spans="1:8" ht="15.75" thickBot="1" x14ac:dyDescent="0.3">
      <c r="F2" s="20"/>
    </row>
    <row r="3" spans="1:8" x14ac:dyDescent="0.25">
      <c r="A3" s="64" t="s">
        <v>17</v>
      </c>
      <c r="B3" s="58" t="str">
        <f>'Enter coordinates here'!$B$5</f>
        <v>N</v>
      </c>
      <c r="C3" s="59">
        <f>'Enter coordinates here'!$C$5</f>
        <v>52</v>
      </c>
      <c r="D3" s="59">
        <f>'Enter coordinates here'!$D$5</f>
        <v>39</v>
      </c>
      <c r="E3" s="60">
        <f>'Enter coordinates here'!$E$5</f>
        <v>16.152177459639301</v>
      </c>
      <c r="F3" s="76"/>
      <c r="G3" s="2" t="s">
        <v>29</v>
      </c>
    </row>
    <row r="4" spans="1:8" ht="15.75" thickBot="1" x14ac:dyDescent="0.3">
      <c r="A4" s="65" t="s">
        <v>19</v>
      </c>
      <c r="B4" s="61" t="str">
        <f>'Enter coordinates here'!$B$6</f>
        <v>E</v>
      </c>
      <c r="C4" s="62">
        <f>'Enter coordinates here'!$C$6</f>
        <v>1</v>
      </c>
      <c r="D4" s="62">
        <f>'Enter coordinates here'!$D$6</f>
        <v>43</v>
      </c>
      <c r="E4" s="63">
        <f>'Enter coordinates here'!$E$6</f>
        <v>73.852177459639293</v>
      </c>
      <c r="F4" s="76"/>
    </row>
    <row r="5" spans="1:8" ht="15.75" thickBot="1" x14ac:dyDescent="0.3">
      <c r="A5" s="4"/>
      <c r="B5" s="21" t="s">
        <v>1</v>
      </c>
      <c r="C5" s="27" t="s">
        <v>2</v>
      </c>
      <c r="D5" s="21" t="s">
        <v>3</v>
      </c>
      <c r="E5" s="32" t="s">
        <v>15</v>
      </c>
      <c r="F5" s="5" t="s">
        <v>16</v>
      </c>
    </row>
    <row r="6" spans="1:8" ht="15.75" thickBot="1" x14ac:dyDescent="0.3">
      <c r="A6" s="83" t="s">
        <v>59</v>
      </c>
      <c r="B6" s="87">
        <f>IF(E6&gt;=0,TRUNC(E6),"-"&amp;ABS(TRUNC(E6)))</f>
        <v>2</v>
      </c>
      <c r="C6" s="88">
        <f>TRUNC((ABS(E6)-ABS(B6))*60)</f>
        <v>58</v>
      </c>
      <c r="D6" s="163">
        <f>((ABS(E6))*3600)-(C6*60)-(ABS(B6)*3600)</f>
        <v>21.326572104420848</v>
      </c>
      <c r="E6" s="28">
        <f>DEGREES(F6)</f>
        <v>2.97259071447345</v>
      </c>
      <c r="F6" s="29">
        <f>(P*XIII)+((P^3)*XIV)+((P^5)*XV)</f>
        <v>5.1881495281772362E-2</v>
      </c>
      <c r="G6" s="2" t="s">
        <v>31</v>
      </c>
    </row>
    <row r="7" spans="1:8" x14ac:dyDescent="0.25">
      <c r="A7" s="14" t="s">
        <v>34</v>
      </c>
      <c r="B7" s="15">
        <f>aFo/(SQRT(1-(e_squared*(SIN(PHI))^2)))</f>
        <v>6388501.2231931137</v>
      </c>
      <c r="C7" s="4"/>
      <c r="D7" s="4"/>
      <c r="E7" s="4"/>
      <c r="F7" s="4"/>
      <c r="G7" s="2" t="s">
        <v>49</v>
      </c>
    </row>
    <row r="8" spans="1:8" x14ac:dyDescent="0.25">
      <c r="A8" s="14" t="s">
        <v>36</v>
      </c>
      <c r="B8" s="15">
        <f>(nu*(1-e_squared))/(1-(e_squared*(SIN(PHI))^2))</f>
        <v>6372753.115849047</v>
      </c>
      <c r="C8" s="4"/>
      <c r="D8" s="4"/>
      <c r="E8" s="4"/>
      <c r="F8" s="4"/>
    </row>
    <row r="9" spans="1:8" ht="16.5" x14ac:dyDescent="0.25">
      <c r="A9" s="14" t="s">
        <v>37</v>
      </c>
      <c r="B9" s="15">
        <f>(nu/rho)-1</f>
        <v>2.4711623152167128E-3</v>
      </c>
      <c r="C9" s="4"/>
      <c r="D9" s="4"/>
      <c r="E9" s="4"/>
      <c r="F9" s="4"/>
    </row>
    <row r="10" spans="1:8" x14ac:dyDescent="0.25">
      <c r="A10" s="5" t="s">
        <v>60</v>
      </c>
      <c r="B10" s="17">
        <f>SIN(PHI)</f>
        <v>0.79499185901109626</v>
      </c>
      <c r="C10" s="4"/>
      <c r="D10" s="4"/>
      <c r="E10" s="4"/>
      <c r="F10" s="4"/>
      <c r="H10" s="110"/>
    </row>
    <row r="11" spans="1:8" x14ac:dyDescent="0.25">
      <c r="A11" s="5" t="s">
        <v>61</v>
      </c>
      <c r="B11" s="17">
        <f>((SIN(PHI)*((COS(PHI))^2))/3)*(1+(3*_eta2)+(2*(_eta2^2)))</f>
        <v>9.8239929740497792E-2</v>
      </c>
      <c r="C11" s="4"/>
      <c r="D11" s="4"/>
      <c r="E11" s="4"/>
      <c r="F11" s="4"/>
    </row>
    <row r="12" spans="1:8" x14ac:dyDescent="0.25">
      <c r="A12" s="5" t="s">
        <v>62</v>
      </c>
      <c r="B12" s="17">
        <f>((SIN(PHI)*((COS(PHI))^4))/15)*(2-((TAN(PHI))^2))</f>
        <v>2.0276233929995766E-3</v>
      </c>
      <c r="C12" s="4"/>
      <c r="D12" s="4"/>
      <c r="E12" s="4"/>
      <c r="F12" s="4"/>
    </row>
    <row r="13" spans="1:8" ht="15.75" thickBot="1" x14ac:dyDescent="0.3">
      <c r="A13" s="18"/>
      <c r="B13" s="39"/>
      <c r="C13" s="20"/>
      <c r="D13" s="20"/>
      <c r="E13" s="20"/>
      <c r="F13" s="22"/>
    </row>
    <row r="14" spans="1:8" ht="15.75" thickBot="1" x14ac:dyDescent="0.3">
      <c r="A14" s="83" t="s">
        <v>59</v>
      </c>
      <c r="B14" s="414">
        <f>IF(E14&gt;=0,TRUNC(E14),"-"&amp;ABS(TRUNC(E14)))</f>
        <v>2</v>
      </c>
      <c r="C14" s="415">
        <f>TRUNC((ABS(E14)-ABS(B14))*60)</f>
        <v>58</v>
      </c>
      <c r="D14" s="416">
        <f>((ABS(E14))*3600)-(C14*60)-(ABS(B14)*3600)</f>
        <v>21.326572104408115</v>
      </c>
      <c r="E14" s="306">
        <f>Lat_Long_to_C(DecimalLat,DecimalLong,DecimalLAM0,a,b,F0)</f>
        <v>2.9725907144734469</v>
      </c>
      <c r="F14" s="304"/>
      <c r="G14" s="2" t="s">
        <v>195</v>
      </c>
    </row>
    <row r="15" spans="1:8" x14ac:dyDescent="0.25">
      <c r="G15" s="22" t="s">
        <v>109</v>
      </c>
    </row>
    <row r="16" spans="1:8" x14ac:dyDescent="0.25">
      <c r="G16" s="2" t="s">
        <v>147</v>
      </c>
    </row>
    <row r="17" spans="1:7" x14ac:dyDescent="0.25">
      <c r="G17" s="22" t="s">
        <v>89</v>
      </c>
    </row>
    <row r="19" spans="1:7" x14ac:dyDescent="0.25">
      <c r="A19" s="55" t="s">
        <v>11</v>
      </c>
    </row>
    <row r="20" spans="1:7" x14ac:dyDescent="0.25">
      <c r="A20" s="2" t="s">
        <v>255</v>
      </c>
    </row>
  </sheetData>
  <sheetProtection sheet="1" objects="1" scenarios="1"/>
  <mergeCells count="1">
    <mergeCell ref="A1:F1"/>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2"/>
  <sheetViews>
    <sheetView tabSelected="1" workbookViewId="0">
      <selection activeCell="F4" sqref="F4"/>
    </sheetView>
  </sheetViews>
  <sheetFormatPr defaultRowHeight="12.75" x14ac:dyDescent="0.2"/>
  <cols>
    <col min="1" max="1" width="13" customWidth="1"/>
    <col min="2" max="2" width="15.7109375" customWidth="1"/>
    <col min="3" max="3" width="4.85546875" customWidth="1"/>
    <col min="4" max="4" width="10.7109375" customWidth="1"/>
    <col min="5" max="5" width="15.85546875" customWidth="1"/>
    <col min="6" max="6" width="14.28515625" customWidth="1"/>
    <col min="7" max="7" width="13.5703125" customWidth="1"/>
  </cols>
  <sheetData>
    <row r="1" spans="1:8" ht="14.25" x14ac:dyDescent="0.2">
      <c r="A1" s="471" t="s">
        <v>63</v>
      </c>
      <c r="B1" s="471"/>
      <c r="C1" s="471"/>
      <c r="D1" s="471"/>
      <c r="E1" s="471"/>
      <c r="F1" s="471"/>
    </row>
    <row r="2" spans="1:8" ht="15" thickBot="1" x14ac:dyDescent="0.25">
      <c r="C2" s="41"/>
      <c r="D2" s="41"/>
      <c r="E2" s="40"/>
      <c r="F2" s="40"/>
    </row>
    <row r="3" spans="1:8" ht="15" x14ac:dyDescent="0.25">
      <c r="A3" s="74" t="s">
        <v>20</v>
      </c>
      <c r="B3" s="75">
        <f>East1</f>
        <v>651409.90300000005</v>
      </c>
      <c r="C3" s="79"/>
      <c r="D3" s="79"/>
      <c r="E3" s="79"/>
      <c r="F3" s="79"/>
      <c r="G3" s="2" t="s">
        <v>29</v>
      </c>
    </row>
    <row r="4" spans="1:8" ht="15" thickBot="1" x14ac:dyDescent="0.25">
      <c r="A4" s="77" t="s">
        <v>23</v>
      </c>
      <c r="B4" s="78">
        <f>North1</f>
        <v>313177.27</v>
      </c>
      <c r="C4" s="79"/>
      <c r="D4" s="79"/>
      <c r="E4" s="79"/>
      <c r="F4" s="79"/>
    </row>
    <row r="5" spans="1:8" ht="15.75" thickBot="1" x14ac:dyDescent="0.3">
      <c r="A5" s="38"/>
      <c r="B5" s="21" t="s">
        <v>1</v>
      </c>
      <c r="C5" s="27" t="s">
        <v>2</v>
      </c>
      <c r="D5" s="21" t="s">
        <v>3</v>
      </c>
      <c r="E5" s="32" t="s">
        <v>15</v>
      </c>
      <c r="F5" s="21" t="s">
        <v>16</v>
      </c>
    </row>
    <row r="6" spans="1:8" ht="15.75" thickBot="1" x14ac:dyDescent="0.3">
      <c r="A6" s="83" t="s">
        <v>59</v>
      </c>
      <c r="B6" s="87">
        <f>IF(E6&gt;=0,TRUNC(E6),"-"&amp;ABS(TRUNC(E6)))</f>
        <v>2</v>
      </c>
      <c r="C6" s="89">
        <f>TRUNC((ABS(E6)-ABS(B6))*60)</f>
        <v>57</v>
      </c>
      <c r="D6" s="164">
        <f>((ABS(E6))*3600)-(C6*60)-(ABS(B6)*3600)</f>
        <v>26.556146604494643</v>
      </c>
      <c r="E6" s="29">
        <f>DEGREES(F6)</f>
        <v>2.9573767073901376</v>
      </c>
      <c r="F6" s="28">
        <f>(Et*XVI)-((Et^3)*XVII)+((Et^5)*XVIII)</f>
        <v>5.1615960765746823E-2</v>
      </c>
      <c r="G6" s="2" t="s">
        <v>31</v>
      </c>
    </row>
    <row r="7" spans="1:8" ht="15" x14ac:dyDescent="0.25">
      <c r="A7" s="31" t="s">
        <v>48</v>
      </c>
      <c r="B7" s="21">
        <f>ABS(TRUNC(E7))</f>
        <v>52</v>
      </c>
      <c r="C7" s="21">
        <f>TRUNC((ABS(E7)-B7)*60)</f>
        <v>42</v>
      </c>
      <c r="D7" s="34">
        <f>((ABS(E7))*3600)-(C7*60)-(B7*3600)</f>
        <v>57.278445496980567</v>
      </c>
      <c r="E7" s="35">
        <f>DEGREES(F7)</f>
        <v>52.715910679304713</v>
      </c>
      <c r="F7" s="36">
        <f>InitialLat(North1,N0,aFo,PHI0,n,bFo)</f>
        <v>0.92006620954110785</v>
      </c>
      <c r="G7" s="2" t="s">
        <v>49</v>
      </c>
    </row>
    <row r="8" spans="1:8" ht="15" x14ac:dyDescent="0.25">
      <c r="A8" s="14" t="s">
        <v>34</v>
      </c>
      <c r="B8" s="17">
        <f>aFo/(SQRT(1-(e_squared*(SIN(InitialPHI))^2)))</f>
        <v>6388523.3421127843</v>
      </c>
      <c r="C8" s="4"/>
      <c r="D8" s="4"/>
      <c r="E8" s="4"/>
      <c r="F8" s="38"/>
    </row>
    <row r="9" spans="1:8" ht="15" x14ac:dyDescent="0.25">
      <c r="A9" s="14" t="s">
        <v>36</v>
      </c>
      <c r="B9" s="17">
        <f>(nuPL*(1-e_squared))/(1-(e_squared*(SIN(InitialPHI))^2))</f>
        <v>6372819.3092631362</v>
      </c>
      <c r="C9" s="4"/>
      <c r="D9" s="4"/>
      <c r="E9" s="4"/>
      <c r="F9" s="38"/>
      <c r="G9" s="2" t="s">
        <v>102</v>
      </c>
    </row>
    <row r="10" spans="1:8" ht="16.5" x14ac:dyDescent="0.25">
      <c r="A10" s="14" t="s">
        <v>37</v>
      </c>
      <c r="B10" s="17">
        <f>(nuPL/rhoPL)-1</f>
        <v>2.4642206357272656E-3</v>
      </c>
      <c r="C10" s="4"/>
      <c r="D10" s="4"/>
      <c r="E10" s="4"/>
      <c r="F10" s="38"/>
      <c r="G10" s="22" t="s">
        <v>109</v>
      </c>
    </row>
    <row r="11" spans="1:8" ht="16.5" x14ac:dyDescent="0.3">
      <c r="A11" s="5" t="s">
        <v>50</v>
      </c>
      <c r="B11" s="17">
        <f>East1-E0</f>
        <v>251409.90300000005</v>
      </c>
      <c r="C11" s="4"/>
      <c r="D11" s="4"/>
      <c r="E11" s="4"/>
      <c r="F11" s="38"/>
      <c r="G11" s="2" t="s">
        <v>147</v>
      </c>
    </row>
    <row r="12" spans="1:8" ht="15" x14ac:dyDescent="0.25">
      <c r="A12" s="5" t="s">
        <v>64</v>
      </c>
      <c r="B12" s="17">
        <f>(TAN(InitialPHI))/nuPL</f>
        <v>2.0559432019915913E-7</v>
      </c>
      <c r="C12" s="4"/>
      <c r="D12" s="4"/>
      <c r="E12" s="4"/>
      <c r="F12" s="38"/>
      <c r="G12" s="22" t="s">
        <v>89</v>
      </c>
    </row>
    <row r="13" spans="1:8" ht="15" x14ac:dyDescent="0.25">
      <c r="A13" s="5" t="s">
        <v>65</v>
      </c>
      <c r="B13" s="17">
        <f>((TAN(InitialPHI))/(3*(nuPL^3)))*(1+((TAN(InitialPHI))^2)-eta2PL-(2*(eta2PL^2)))</f>
        <v>4.5717465858070146E-21</v>
      </c>
      <c r="C13" s="4"/>
      <c r="D13" s="4"/>
      <c r="E13" s="4"/>
      <c r="F13" s="38"/>
    </row>
    <row r="14" spans="1:8" ht="15" x14ac:dyDescent="0.25">
      <c r="A14" s="5" t="s">
        <v>66</v>
      </c>
      <c r="B14" s="17">
        <f>((TAN(InitialPHI))/(15*(nuPL^5)))*(2+(5*((TAN(InitialPHI))^2))+(3*((TAN(InitialPHI))^4)))</f>
        <v>1.6089868700043524E-34</v>
      </c>
      <c r="C14" s="4"/>
      <c r="D14" s="4"/>
      <c r="E14" s="4"/>
      <c r="F14" s="38"/>
    </row>
    <row r="15" spans="1:8" ht="13.5" thickBot="1" x14ac:dyDescent="0.25"/>
    <row r="16" spans="1:8" ht="15.75" thickBot="1" x14ac:dyDescent="0.3">
      <c r="A16" s="83" t="s">
        <v>59</v>
      </c>
      <c r="B16" s="414">
        <f>IF(E16&gt;=0,TRUNC(E16),"-"&amp;ABS(TRUNC(E16)))</f>
        <v>2</v>
      </c>
      <c r="C16" s="415">
        <f>TRUNC((ABS(E16)-ABS(B16))*60)</f>
        <v>57</v>
      </c>
      <c r="D16" s="416">
        <f>((ABS(E16))*3600)-(C16*60)-(ABS(B16)*3600)</f>
        <v>26.556146604492824</v>
      </c>
      <c r="E16" s="307">
        <f>E_N_to_C(East1,North1,a,b,E0,N0,F0,DecimalPHI0)</f>
        <v>2.9573767073901367</v>
      </c>
      <c r="F16" s="304"/>
      <c r="G16" s="2" t="s">
        <v>195</v>
      </c>
      <c r="H16" s="2"/>
    </row>
    <row r="17" spans="1:8" ht="15" x14ac:dyDescent="0.25">
      <c r="A17" s="2"/>
      <c r="B17" s="2"/>
      <c r="C17" s="2"/>
      <c r="D17" s="2"/>
      <c r="E17" s="2"/>
      <c r="F17" s="2"/>
      <c r="G17" s="22" t="s">
        <v>109</v>
      </c>
      <c r="H17" s="2"/>
    </row>
    <row r="18" spans="1:8" ht="15" x14ac:dyDescent="0.25">
      <c r="A18" s="2"/>
      <c r="B18" s="2"/>
      <c r="C18" s="2"/>
      <c r="D18" s="2"/>
      <c r="E18" s="2"/>
      <c r="F18" s="2"/>
      <c r="G18" s="2" t="s">
        <v>147</v>
      </c>
      <c r="H18" s="2"/>
    </row>
    <row r="19" spans="1:8" ht="15" x14ac:dyDescent="0.25">
      <c r="A19" s="2"/>
      <c r="B19" s="2"/>
      <c r="C19" s="2"/>
      <c r="D19" s="2"/>
      <c r="E19" s="2"/>
      <c r="F19" s="2"/>
      <c r="G19" s="22" t="s">
        <v>89</v>
      </c>
      <c r="H19" s="2"/>
    </row>
    <row r="20" spans="1:8" x14ac:dyDescent="0.2">
      <c r="A20" s="39"/>
      <c r="B20" s="39"/>
      <c r="C20" s="39"/>
      <c r="D20" s="39"/>
      <c r="E20" s="39"/>
      <c r="F20" s="39"/>
    </row>
    <row r="21" spans="1:8" ht="14.25" x14ac:dyDescent="0.2">
      <c r="A21" s="55" t="s">
        <v>11</v>
      </c>
      <c r="B21" s="39"/>
      <c r="C21" s="39"/>
      <c r="D21" s="39"/>
      <c r="E21" s="39"/>
      <c r="F21" s="39"/>
    </row>
    <row r="22" spans="1:8" ht="15" x14ac:dyDescent="0.25">
      <c r="A22" s="2" t="s">
        <v>255</v>
      </c>
    </row>
  </sheetData>
  <sheetProtection sheet="1" objects="1" scenarios="1"/>
  <mergeCells count="1">
    <mergeCell ref="A1:F1"/>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8"/>
  <sheetViews>
    <sheetView workbookViewId="0">
      <selection sqref="A1:E1"/>
    </sheetView>
  </sheetViews>
  <sheetFormatPr defaultRowHeight="15" x14ac:dyDescent="0.25"/>
  <cols>
    <col min="1" max="1" width="12.42578125" style="2" customWidth="1"/>
    <col min="2" max="2" width="17.85546875" style="2" customWidth="1"/>
    <col min="3" max="3" width="4.140625" style="2" customWidth="1"/>
    <col min="4" max="4" width="4.7109375" style="2" customWidth="1"/>
    <col min="5" max="5" width="12" style="2" customWidth="1"/>
    <col min="6" max="16384" width="9.140625" style="2"/>
  </cols>
  <sheetData>
    <row r="1" spans="1:6" x14ac:dyDescent="0.25">
      <c r="A1" s="471" t="s">
        <v>67</v>
      </c>
      <c r="B1" s="471"/>
      <c r="C1" s="471"/>
      <c r="D1" s="471"/>
      <c r="E1" s="471"/>
    </row>
    <row r="2" spans="1:6" ht="15.75" thickBot="1" x14ac:dyDescent="0.3"/>
    <row r="3" spans="1:6" x14ac:dyDescent="0.25">
      <c r="A3" s="64" t="s">
        <v>17</v>
      </c>
      <c r="B3" s="58" t="str">
        <f>'Enter coordinates here'!$B$5</f>
        <v>N</v>
      </c>
      <c r="C3" s="59">
        <f>'Enter coordinates here'!$C$5</f>
        <v>52</v>
      </c>
      <c r="D3" s="59">
        <f>'Enter coordinates here'!$D$5</f>
        <v>39</v>
      </c>
      <c r="E3" s="60">
        <f>'Enter coordinates here'!$E$5</f>
        <v>16.152177459639301</v>
      </c>
      <c r="F3" s="2" t="s">
        <v>29</v>
      </c>
    </row>
    <row r="4" spans="1:6" ht="15.75" thickBot="1" x14ac:dyDescent="0.3">
      <c r="A4" s="65" t="s">
        <v>19</v>
      </c>
      <c r="B4" s="61" t="str">
        <f>'Enter coordinates here'!$B$6</f>
        <v>E</v>
      </c>
      <c r="C4" s="62">
        <f>'Enter coordinates here'!$C$6</f>
        <v>1</v>
      </c>
      <c r="D4" s="62">
        <f>'Enter coordinates here'!$D$6</f>
        <v>43</v>
      </c>
      <c r="E4" s="63">
        <f>'Enter coordinates here'!$E$6</f>
        <v>73.852177459639293</v>
      </c>
    </row>
    <row r="5" spans="1:6" ht="15.75" thickBot="1" x14ac:dyDescent="0.3">
      <c r="A5" s="83" t="s">
        <v>68</v>
      </c>
      <c r="B5" s="165">
        <f>F0*(1+((P^2)*XIX)+((P^4)*XX))</f>
        <v>1.0003854982941427</v>
      </c>
      <c r="C5" s="85"/>
      <c r="D5" s="86"/>
      <c r="E5" s="86"/>
      <c r="F5" s="2" t="s">
        <v>31</v>
      </c>
    </row>
    <row r="6" spans="1:6" x14ac:dyDescent="0.25">
      <c r="A6" s="14" t="s">
        <v>34</v>
      </c>
      <c r="B6" s="15">
        <f>aFo/(SQRT(1-(e_squared*(SIN(PHI))^2)))</f>
        <v>6388501.2231931137</v>
      </c>
      <c r="C6" s="5"/>
      <c r="D6" s="5"/>
      <c r="E6" s="5"/>
      <c r="F6" s="2" t="s">
        <v>49</v>
      </c>
    </row>
    <row r="7" spans="1:6" x14ac:dyDescent="0.25">
      <c r="A7" s="14" t="s">
        <v>36</v>
      </c>
      <c r="B7" s="15">
        <f>(nu*(1-e_squared))/(1-(e_squared*(SIN(PHI))^2))</f>
        <v>6372753.115849047</v>
      </c>
      <c r="C7" s="5"/>
      <c r="D7" s="5"/>
      <c r="E7" s="5"/>
    </row>
    <row r="8" spans="1:6" ht="16.5" x14ac:dyDescent="0.25">
      <c r="A8" s="14" t="s">
        <v>37</v>
      </c>
      <c r="B8" s="15">
        <f>(nu/rho)-1</f>
        <v>2.4711623152167128E-3</v>
      </c>
      <c r="C8" s="5"/>
      <c r="D8" s="5"/>
      <c r="E8" s="5"/>
    </row>
    <row r="9" spans="1:6" x14ac:dyDescent="0.25">
      <c r="A9" s="5" t="s">
        <v>69</v>
      </c>
      <c r="B9" s="16">
        <f>((COS(PHI)^2)/2)*(1+_eta2)</f>
        <v>0.18444865102300517</v>
      </c>
      <c r="C9" s="5"/>
      <c r="D9" s="5"/>
      <c r="E9" s="5"/>
    </row>
    <row r="10" spans="1:6" x14ac:dyDescent="0.25">
      <c r="A10" s="5" t="s">
        <v>70</v>
      </c>
      <c r="B10" s="16">
        <f>((COS(PHI)^4)/24)*(5-(4*((TAN(PHI))^2))+(14*_eta2)-(28*((TAN(PHI*_eta2))^2)))</f>
        <v>-1.0356263733193399E-2</v>
      </c>
      <c r="C10" s="5"/>
      <c r="D10" s="5"/>
      <c r="E10" s="5"/>
    </row>
    <row r="11" spans="1:6" ht="15.75" thickBot="1" x14ac:dyDescent="0.3"/>
    <row r="12" spans="1:6" ht="15.75" thickBot="1" x14ac:dyDescent="0.3">
      <c r="A12" s="83" t="s">
        <v>68</v>
      </c>
      <c r="B12" s="165">
        <f>Lat_Long_to_LSF(DecimalLat,DecimalLong,DecimalLAM0,a,b,F0)</f>
        <v>1.0003854982941427</v>
      </c>
      <c r="C12" s="85"/>
      <c r="D12" s="86"/>
      <c r="E12" s="86"/>
      <c r="F12" s="2" t="s">
        <v>195</v>
      </c>
    </row>
    <row r="13" spans="1:6" x14ac:dyDescent="0.25">
      <c r="F13" s="22" t="s">
        <v>109</v>
      </c>
    </row>
    <row r="14" spans="1:6" x14ac:dyDescent="0.25">
      <c r="F14" s="2" t="s">
        <v>147</v>
      </c>
    </row>
    <row r="15" spans="1:6" x14ac:dyDescent="0.25">
      <c r="F15" s="22" t="s">
        <v>89</v>
      </c>
    </row>
    <row r="17" spans="1:1" x14ac:dyDescent="0.25">
      <c r="A17" s="55" t="s">
        <v>11</v>
      </c>
    </row>
    <row r="18" spans="1:1" x14ac:dyDescent="0.25">
      <c r="A18" s="2" t="s">
        <v>71</v>
      </c>
    </row>
  </sheetData>
  <sheetProtection sheet="1" objects="1" scenarios="1"/>
  <mergeCells count="1">
    <mergeCell ref="A1:E1"/>
  </mergeCells>
  <phoneticPr fontId="0" type="noConversion"/>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4"/>
  <sheetViews>
    <sheetView workbookViewId="0">
      <selection sqref="A1:F1"/>
    </sheetView>
  </sheetViews>
  <sheetFormatPr defaultRowHeight="12.75" x14ac:dyDescent="0.2"/>
  <cols>
    <col min="1" max="1" width="12" customWidth="1"/>
    <col min="2" max="2" width="15.28515625" customWidth="1"/>
    <col min="3" max="3" width="3.7109375" customWidth="1"/>
    <col min="4" max="4" width="9.85546875" customWidth="1"/>
    <col min="5" max="5" width="14" customWidth="1"/>
    <col min="6" max="6" width="12.42578125" customWidth="1"/>
  </cols>
  <sheetData>
    <row r="1" spans="1:7" ht="14.25" x14ac:dyDescent="0.2">
      <c r="A1" s="471" t="s">
        <v>72</v>
      </c>
      <c r="B1" s="471"/>
      <c r="C1" s="471"/>
      <c r="D1" s="471"/>
      <c r="E1" s="471"/>
      <c r="F1" s="471"/>
    </row>
    <row r="2" spans="1:7" ht="15" thickBot="1" x14ac:dyDescent="0.25">
      <c r="C2" s="41"/>
      <c r="D2" s="41"/>
      <c r="E2" s="40"/>
      <c r="F2" s="39"/>
    </row>
    <row r="3" spans="1:7" ht="15" x14ac:dyDescent="0.25">
      <c r="A3" s="74" t="s">
        <v>20</v>
      </c>
      <c r="B3" s="75">
        <f>East1</f>
        <v>651409.90300000005</v>
      </c>
      <c r="C3" s="79"/>
      <c r="D3" s="79"/>
      <c r="E3" s="79"/>
      <c r="F3" s="79"/>
      <c r="G3" s="2" t="s">
        <v>29</v>
      </c>
    </row>
    <row r="4" spans="1:7" ht="15" thickBot="1" x14ac:dyDescent="0.25">
      <c r="A4" s="77" t="s">
        <v>23</v>
      </c>
      <c r="B4" s="78">
        <f>North1</f>
        <v>313177.27</v>
      </c>
      <c r="C4" s="79"/>
      <c r="D4" s="79"/>
      <c r="E4" s="79"/>
      <c r="F4" s="79"/>
    </row>
    <row r="5" spans="1:7" ht="15.75" thickBot="1" x14ac:dyDescent="0.3">
      <c r="A5" s="83" t="s">
        <v>68</v>
      </c>
      <c r="B5" s="165">
        <f>F0*(1+((Et^2)*XXI)+((Et^4)*XXII))</f>
        <v>1.0003773154605231</v>
      </c>
      <c r="C5" s="85"/>
      <c r="D5" s="86"/>
      <c r="E5" s="86"/>
      <c r="F5" s="86"/>
      <c r="G5" s="2" t="s">
        <v>31</v>
      </c>
    </row>
    <row r="6" spans="1:7" ht="15" x14ac:dyDescent="0.25">
      <c r="A6" s="5"/>
      <c r="B6" s="21" t="s">
        <v>1</v>
      </c>
      <c r="C6" s="27" t="s">
        <v>2</v>
      </c>
      <c r="D6" s="21" t="s">
        <v>3</v>
      </c>
      <c r="E6" s="5" t="s">
        <v>15</v>
      </c>
      <c r="F6" s="21" t="s">
        <v>16</v>
      </c>
      <c r="G6" s="2" t="s">
        <v>49</v>
      </c>
    </row>
    <row r="7" spans="1:7" ht="15" x14ac:dyDescent="0.25">
      <c r="A7" s="31" t="s">
        <v>48</v>
      </c>
      <c r="B7" s="21">
        <f>ABS(TRUNC(E7))</f>
        <v>52</v>
      </c>
      <c r="C7" s="21">
        <f>TRUNC((ABS(E7)-B7)*60)</f>
        <v>42</v>
      </c>
      <c r="D7" s="34">
        <f>((ABS(E7))*3600)-(C7*60)-(B7*3600)</f>
        <v>57.278445496980567</v>
      </c>
      <c r="E7" s="43">
        <f>DEGREES(F7)</f>
        <v>52.715910679304713</v>
      </c>
      <c r="F7" s="35">
        <f>InitialLat(North1,N0,aFo,PHI0,n,bFo)</f>
        <v>0.92006620954110785</v>
      </c>
    </row>
    <row r="8" spans="1:7" ht="15" x14ac:dyDescent="0.25">
      <c r="A8" s="14" t="s">
        <v>34</v>
      </c>
      <c r="B8" s="17">
        <f>aFo/(SQRT(1-(e_squared*(SIN(InitialPHI))^2)))</f>
        <v>6388523.3421127843</v>
      </c>
      <c r="C8" s="5"/>
      <c r="D8" s="5"/>
      <c r="E8" s="5"/>
      <c r="F8" s="42"/>
      <c r="G8" s="2" t="s">
        <v>102</v>
      </c>
    </row>
    <row r="9" spans="1:7" ht="15" x14ac:dyDescent="0.25">
      <c r="A9" s="14" t="s">
        <v>36</v>
      </c>
      <c r="B9" s="17">
        <f>(nuPL*(1-e_squared))/(1-(e_squared*(SIN(InitialPHI))^2))</f>
        <v>6372819.3092631362</v>
      </c>
      <c r="C9" s="5"/>
      <c r="D9" s="5"/>
      <c r="E9" s="5"/>
      <c r="F9" s="42"/>
      <c r="G9" s="22" t="s">
        <v>109</v>
      </c>
    </row>
    <row r="10" spans="1:7" ht="16.5" x14ac:dyDescent="0.25">
      <c r="A10" s="14" t="s">
        <v>37</v>
      </c>
      <c r="B10" s="17">
        <f>(nuPL/rhoPL)-1</f>
        <v>2.4642206357272656E-3</v>
      </c>
      <c r="C10" s="5"/>
      <c r="D10" s="5"/>
      <c r="E10" s="5"/>
      <c r="F10" s="42"/>
      <c r="G10" s="2" t="s">
        <v>147</v>
      </c>
    </row>
    <row r="11" spans="1:7" ht="15" x14ac:dyDescent="0.25">
      <c r="A11" s="5" t="s">
        <v>73</v>
      </c>
      <c r="B11" s="16">
        <f>1/(2*rhoPL*nuPL)</f>
        <v>1.2281118261571367E-14</v>
      </c>
      <c r="C11" s="5"/>
      <c r="D11" s="5"/>
      <c r="E11" s="5"/>
      <c r="F11" s="42"/>
      <c r="G11" s="22" t="s">
        <v>89</v>
      </c>
    </row>
    <row r="12" spans="1:7" ht="15" x14ac:dyDescent="0.25">
      <c r="A12" s="5" t="s">
        <v>74</v>
      </c>
      <c r="B12" s="16">
        <f>(1+(4*eta2PL))/(24*(rhoPL^2)*(nuPL^2))</f>
        <v>2.5385423099646397E-29</v>
      </c>
      <c r="C12" s="5"/>
      <c r="D12" s="5"/>
      <c r="E12" s="5"/>
      <c r="F12" s="42"/>
    </row>
    <row r="13" spans="1:7" ht="13.5" thickBot="1" x14ac:dyDescent="0.25"/>
    <row r="14" spans="1:7" ht="15.75" thickBot="1" x14ac:dyDescent="0.3">
      <c r="A14" s="83" t="s">
        <v>68</v>
      </c>
      <c r="B14" s="165">
        <f>E_N_to_LSF(East1,North1,a,b,E0,N0,F0,DecimalPHI0)</f>
        <v>1.0003773154605231</v>
      </c>
      <c r="C14" s="85"/>
      <c r="D14" s="86"/>
      <c r="E14" s="86"/>
      <c r="F14" s="305"/>
      <c r="G14" s="2" t="s">
        <v>195</v>
      </c>
    </row>
    <row r="15" spans="1:7" ht="15" x14ac:dyDescent="0.25">
      <c r="A15" s="2"/>
      <c r="B15" s="2"/>
      <c r="C15" s="2"/>
      <c r="D15" s="2"/>
      <c r="E15" s="2"/>
      <c r="G15" s="22" t="s">
        <v>109</v>
      </c>
    </row>
    <row r="16" spans="1:7" ht="15" x14ac:dyDescent="0.25">
      <c r="A16" s="2"/>
      <c r="B16" s="2"/>
      <c r="C16" s="2"/>
      <c r="D16" s="2"/>
      <c r="E16" s="2"/>
      <c r="G16" s="2" t="s">
        <v>147</v>
      </c>
    </row>
    <row r="17" spans="1:7" ht="15" x14ac:dyDescent="0.25">
      <c r="A17" s="2"/>
      <c r="B17" s="2"/>
      <c r="C17" s="2"/>
      <c r="D17" s="2"/>
      <c r="E17" s="2"/>
      <c r="G17" s="22" t="s">
        <v>89</v>
      </c>
    </row>
    <row r="18" spans="1:7" ht="14.25" x14ac:dyDescent="0.2">
      <c r="A18" s="55" t="s">
        <v>11</v>
      </c>
    </row>
    <row r="19" spans="1:7" ht="15" x14ac:dyDescent="0.25">
      <c r="A19" s="2" t="s">
        <v>71</v>
      </c>
    </row>
    <row r="20" spans="1:7" ht="15" x14ac:dyDescent="0.25">
      <c r="A20" s="2" t="s">
        <v>199</v>
      </c>
    </row>
    <row r="21" spans="1:7" ht="15" x14ac:dyDescent="0.25">
      <c r="A21" s="2" t="s">
        <v>204</v>
      </c>
    </row>
    <row r="22" spans="1:7" ht="15" x14ac:dyDescent="0.25">
      <c r="A22" s="44" t="s">
        <v>206</v>
      </c>
    </row>
    <row r="23" spans="1:7" ht="15" x14ac:dyDescent="0.25">
      <c r="A23" s="44" t="s">
        <v>205</v>
      </c>
    </row>
    <row r="24" spans="1:7" ht="14.25" x14ac:dyDescent="0.2">
      <c r="A24" s="55" t="s">
        <v>197</v>
      </c>
    </row>
    <row r="25" spans="1:7" ht="15" x14ac:dyDescent="0.25">
      <c r="A25" s="2" t="s">
        <v>196</v>
      </c>
      <c r="B25" s="44"/>
      <c r="C25" s="44"/>
      <c r="D25" s="44"/>
      <c r="E25" s="44"/>
      <c r="F25" s="44"/>
    </row>
    <row r="26" spans="1:7" ht="15" x14ac:dyDescent="0.25">
      <c r="A26" s="2" t="s">
        <v>198</v>
      </c>
      <c r="B26" s="371">
        <f>E_N_to_LSF(East1,North1,a,b,E0,N0,F0,DecimalPHI0)</f>
        <v>1.0003773154605231</v>
      </c>
      <c r="C26" s="309" t="s">
        <v>200</v>
      </c>
      <c r="D26" s="44"/>
      <c r="E26" s="44"/>
      <c r="F26" s="44"/>
    </row>
    <row r="27" spans="1:7" ht="15" x14ac:dyDescent="0.25">
      <c r="A27" s="2"/>
      <c r="B27" s="371">
        <f>E_N_to_LSF(East2,North2,a,b,E0,N0,F0,DecimalPHI0)</f>
        <v>1.0002296945901421</v>
      </c>
      <c r="C27" s="309" t="s">
        <v>201</v>
      </c>
      <c r="D27" s="44"/>
      <c r="E27" s="44"/>
      <c r="F27" s="44"/>
    </row>
    <row r="28" spans="1:7" ht="15.75" thickBot="1" x14ac:dyDescent="0.3">
      <c r="A28" s="2"/>
      <c r="B28" s="372">
        <f>E_N_to_LSF(East1+((East2-East1)/2),North1+((North2-North1)/2),a,b,E0,N0,F0,DecimalPHI0)</f>
        <v>1.0003015598243443</v>
      </c>
      <c r="C28" s="309" t="s">
        <v>202</v>
      </c>
      <c r="D28" s="44"/>
      <c r="E28" s="44"/>
      <c r="F28" s="44"/>
    </row>
    <row r="29" spans="1:7" ht="15.75" thickBot="1" x14ac:dyDescent="0.3">
      <c r="A29" s="2"/>
      <c r="B29" s="373">
        <f>(1/6)*(B26+(4*B28)+B27)</f>
        <v>1.0003022082246735</v>
      </c>
      <c r="C29" s="310" t="s">
        <v>203</v>
      </c>
      <c r="D29" s="44"/>
      <c r="E29" s="44"/>
      <c r="F29" s="44"/>
    </row>
    <row r="30" spans="1:7" ht="15" x14ac:dyDescent="0.25">
      <c r="A30" s="44"/>
      <c r="B30" s="44"/>
      <c r="C30" s="44"/>
      <c r="D30" s="44"/>
      <c r="E30" s="44"/>
      <c r="F30" s="44"/>
    </row>
    <row r="31" spans="1:7" ht="15" x14ac:dyDescent="0.25">
      <c r="A31" s="44"/>
      <c r="B31" s="44"/>
      <c r="C31" s="44"/>
      <c r="D31" s="44"/>
      <c r="E31" s="44"/>
      <c r="F31" s="44"/>
    </row>
    <row r="32" spans="1:7" ht="15" x14ac:dyDescent="0.25">
      <c r="A32" s="44"/>
      <c r="B32" s="44"/>
      <c r="C32" s="44"/>
      <c r="D32" s="44"/>
      <c r="E32" s="44"/>
      <c r="F32" s="44"/>
    </row>
    <row r="33" spans="1:6" ht="15" x14ac:dyDescent="0.25">
      <c r="A33" s="44"/>
      <c r="B33" s="44"/>
      <c r="C33" s="44"/>
      <c r="D33" s="44"/>
      <c r="E33" s="44"/>
      <c r="F33" s="44"/>
    </row>
    <row r="34" spans="1:6" ht="15" x14ac:dyDescent="0.25">
      <c r="A34" s="44"/>
      <c r="B34" s="44"/>
      <c r="C34" s="44"/>
      <c r="D34" s="44"/>
      <c r="E34" s="44"/>
      <c r="F34" s="44"/>
    </row>
  </sheetData>
  <sheetProtection sheet="1" objects="1" scenarios="1"/>
  <mergeCells count="1">
    <mergeCell ref="A1:F1"/>
  </mergeCells>
  <phoneticPr fontId="0" type="noConversion"/>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4"/>
  <sheetViews>
    <sheetView workbookViewId="0">
      <selection sqref="A1:F1"/>
    </sheetView>
  </sheetViews>
  <sheetFormatPr defaultRowHeight="15" x14ac:dyDescent="0.25"/>
  <cols>
    <col min="1" max="1" width="12" style="47" customWidth="1"/>
    <col min="2" max="2" width="16.140625" style="2" customWidth="1"/>
    <col min="3" max="3" width="3" style="2" customWidth="1"/>
    <col min="4" max="4" width="13.85546875" style="2" customWidth="1"/>
    <col min="5" max="5" width="16.85546875" style="2" bestFit="1" customWidth="1"/>
    <col min="6" max="6" width="17.7109375" style="2" customWidth="1"/>
    <col min="7" max="16384" width="9.140625" style="2"/>
  </cols>
  <sheetData>
    <row r="1" spans="1:7" x14ac:dyDescent="0.25">
      <c r="A1" s="471" t="s">
        <v>75</v>
      </c>
      <c r="B1" s="471"/>
      <c r="C1" s="471"/>
      <c r="D1" s="471"/>
      <c r="E1" s="471"/>
      <c r="F1" s="471"/>
    </row>
    <row r="2" spans="1:7" ht="15.75" thickBot="1" x14ac:dyDescent="0.3"/>
    <row r="3" spans="1:7" x14ac:dyDescent="0.25">
      <c r="A3" s="74" t="s">
        <v>20</v>
      </c>
      <c r="B3" s="75">
        <f>East1</f>
        <v>651409.90300000005</v>
      </c>
      <c r="C3" s="80"/>
      <c r="D3" s="80"/>
      <c r="E3" s="80"/>
      <c r="F3" s="80"/>
      <c r="G3" s="2" t="s">
        <v>29</v>
      </c>
    </row>
    <row r="4" spans="1:7" ht="15.75" thickBot="1" x14ac:dyDescent="0.3">
      <c r="A4" s="77" t="s">
        <v>23</v>
      </c>
      <c r="B4" s="78">
        <f>North1</f>
        <v>313177.27</v>
      </c>
      <c r="C4" s="80"/>
      <c r="D4" s="80"/>
      <c r="E4" s="80"/>
      <c r="F4" s="80"/>
    </row>
    <row r="5" spans="1:7" x14ac:dyDescent="0.25">
      <c r="A5" s="81" t="s">
        <v>24</v>
      </c>
      <c r="B5" s="75">
        <f>East2</f>
        <v>626238.24899999995</v>
      </c>
      <c r="C5" s="80"/>
      <c r="D5" s="80"/>
      <c r="E5" s="80"/>
      <c r="F5" s="80"/>
    </row>
    <row r="6" spans="1:7" ht="15.75" thickBot="1" x14ac:dyDescent="0.3">
      <c r="A6" s="77" t="s">
        <v>25</v>
      </c>
      <c r="B6" s="78">
        <f>North2</f>
        <v>302646.41499999998</v>
      </c>
      <c r="C6" s="80"/>
      <c r="D6" s="80"/>
      <c r="E6" s="80"/>
      <c r="F6" s="80"/>
    </row>
    <row r="7" spans="1:7" ht="15.75" thickBot="1" x14ac:dyDescent="0.3">
      <c r="A7" s="38"/>
      <c r="B7" s="21" t="s">
        <v>1</v>
      </c>
      <c r="C7" s="27" t="s">
        <v>2</v>
      </c>
      <c r="D7" s="21" t="s">
        <v>3</v>
      </c>
      <c r="E7" s="32" t="s">
        <v>15</v>
      </c>
      <c r="F7" s="21" t="s">
        <v>16</v>
      </c>
    </row>
    <row r="8" spans="1:7" ht="18" thickBot="1" x14ac:dyDescent="0.35">
      <c r="A8" s="417" t="s">
        <v>76</v>
      </c>
      <c r="B8" s="83">
        <f>IF(E8&gt;=0,TRUNC(E8),"-"&amp;ABS(TRUNC(E8)))</f>
        <v>0</v>
      </c>
      <c r="C8" s="83">
        <f>TRUNC((ABS(E8)-ABS(B8))*60)</f>
        <v>0</v>
      </c>
      <c r="D8" s="164">
        <f>((ABS(E8))*3600)-(C8*60)-(ABS(B8)*3600)</f>
        <v>6.482942545223036</v>
      </c>
      <c r="E8" s="28">
        <f>DEGREES(F8)</f>
        <v>1.8008173736730655E-3</v>
      </c>
      <c r="F8" s="46">
        <f>((2*(East1-E0))+(East2-E0))*(North1-North2)*XXIII</f>
        <v>3.1430192397712043E-5</v>
      </c>
      <c r="G8" s="2" t="s">
        <v>31</v>
      </c>
    </row>
    <row r="9" spans="1:7" ht="18" thickBot="1" x14ac:dyDescent="0.35">
      <c r="A9" s="417" t="s">
        <v>77</v>
      </c>
      <c r="B9" s="83" t="str">
        <f>IF(E9&gt;=0,TRUNC(E9),"-"&amp;ABS(TRUNC(E9)))</f>
        <v>-0</v>
      </c>
      <c r="C9" s="83">
        <f>TRUNC((ABS(E9)-ABS(B9))*60)</f>
        <v>0</v>
      </c>
      <c r="D9" s="164">
        <f>((ABS(E9))*3600)-(C9*60)-(ABS(B9)*3600)</f>
        <v>6.2591107316506118</v>
      </c>
      <c r="E9" s="28">
        <f>DEGREES(F9)</f>
        <v>-1.7386418699029478E-3</v>
      </c>
      <c r="F9" s="46">
        <f>((2*(East2-E0))+(East1-E0))*(North2-North1)*XXIII</f>
        <v>-3.0345025142837345E-5</v>
      </c>
    </row>
    <row r="10" spans="1:7" ht="16.5" x14ac:dyDescent="0.3">
      <c r="A10" s="21" t="s">
        <v>78</v>
      </c>
      <c r="B10" s="21">
        <f>(North1+North2)/2</f>
        <v>307911.84250000003</v>
      </c>
      <c r="C10" s="21"/>
      <c r="D10" s="21"/>
      <c r="E10" s="21"/>
      <c r="F10" s="21"/>
      <c r="G10" s="2" t="s">
        <v>49</v>
      </c>
    </row>
    <row r="11" spans="1:7" x14ac:dyDescent="0.25">
      <c r="A11" s="21" t="s">
        <v>39</v>
      </c>
      <c r="B11" s="15">
        <f>Marc(bFo,n,PHI0,F12)</f>
        <v>407911.84249998792</v>
      </c>
      <c r="C11" s="21"/>
      <c r="D11" s="21"/>
      <c r="E11" s="21"/>
      <c r="F11" s="21"/>
    </row>
    <row r="12" spans="1:7" x14ac:dyDescent="0.25">
      <c r="A12" s="14" t="s">
        <v>48</v>
      </c>
      <c r="B12" s="21">
        <f>ABS(TRUNC(E12))</f>
        <v>52</v>
      </c>
      <c r="C12" s="21">
        <f>TRUNC((ABS(E12)-B12)*60)</f>
        <v>40</v>
      </c>
      <c r="D12" s="34">
        <f>((ABS(E12))*3600)-(C12*60)-(B12*3600)</f>
        <v>6.8551717618829571</v>
      </c>
      <c r="E12" s="21">
        <f>DEGREES(F12)</f>
        <v>52.668570881044971</v>
      </c>
      <c r="F12" s="21">
        <f>InitialLat(Nm,N0,aFo,PHI0,n,bFo)</f>
        <v>0.91923997419424541</v>
      </c>
      <c r="G12" s="2" t="s">
        <v>149</v>
      </c>
    </row>
    <row r="13" spans="1:7" x14ac:dyDescent="0.25">
      <c r="A13" s="14" t="s">
        <v>34</v>
      </c>
      <c r="B13" s="17">
        <f>aFo/(SQRT(1-(e_squared*(SIN(F12))^2)))</f>
        <v>6388506.2960662628</v>
      </c>
      <c r="C13" s="21"/>
      <c r="D13" s="21"/>
      <c r="E13" s="21"/>
      <c r="F13" s="21"/>
      <c r="G13" s="22" t="s">
        <v>108</v>
      </c>
    </row>
    <row r="14" spans="1:7" x14ac:dyDescent="0.25">
      <c r="A14" s="14" t="s">
        <v>36</v>
      </c>
      <c r="B14" s="17">
        <f>(B13*(1-e_squared))/(1-(e_squared*(SIN(F12))^2))</f>
        <v>6372768.2969655748</v>
      </c>
      <c r="C14" s="21"/>
      <c r="D14" s="21"/>
      <c r="E14" s="21"/>
      <c r="F14" s="21"/>
      <c r="G14" s="2" t="s">
        <v>147</v>
      </c>
    </row>
    <row r="15" spans="1:7" x14ac:dyDescent="0.25">
      <c r="A15" s="21" t="s">
        <v>79</v>
      </c>
      <c r="B15" s="15">
        <f>1/(6*B14*B13)</f>
        <v>4.093749779271494E-15</v>
      </c>
      <c r="C15" s="21"/>
      <c r="D15" s="21"/>
      <c r="E15" s="21"/>
      <c r="F15" s="21"/>
      <c r="G15" s="22" t="s">
        <v>89</v>
      </c>
    </row>
    <row r="16" spans="1:7" x14ac:dyDescent="0.25">
      <c r="A16" s="21"/>
      <c r="B16" s="21"/>
      <c r="C16" s="21"/>
      <c r="D16" s="21"/>
      <c r="E16" s="21"/>
      <c r="F16" s="21"/>
    </row>
    <row r="17" spans="1:7" ht="15.75" thickBot="1" x14ac:dyDescent="0.3"/>
    <row r="18" spans="1:7" ht="18" thickBot="1" x14ac:dyDescent="0.35">
      <c r="A18" s="83" t="s">
        <v>76</v>
      </c>
      <c r="B18" s="84">
        <f>IF(E18&gt;=0,TRUNC(E18),"-"&amp;ABS(TRUNC(E18)))</f>
        <v>0</v>
      </c>
      <c r="C18" s="418">
        <f>TRUNC((ABS(E18)-ABS(B18))*60)</f>
        <v>0</v>
      </c>
      <c r="D18" s="419">
        <f>((ABS(E18))*3600)-(C18*60)-(ABS(B18)*3600)</f>
        <v>6.4829425452230423</v>
      </c>
      <c r="E18" s="306">
        <f>E_N_to_t_minus_T(East1,North1,East2,North2,a,b,E0,N0,F0,DecimalPHI0)</f>
        <v>1.8008173736730672E-3</v>
      </c>
      <c r="F18" s="3"/>
      <c r="G18" s="2" t="s">
        <v>195</v>
      </c>
    </row>
    <row r="19" spans="1:7" ht="18" thickBot="1" x14ac:dyDescent="0.35">
      <c r="A19" s="83" t="s">
        <v>77</v>
      </c>
      <c r="B19" s="84" t="str">
        <f>IF(E19&gt;=0,TRUNC(E19),"-"&amp;ABS(TRUNC(E19)))</f>
        <v>-0</v>
      </c>
      <c r="C19" s="418">
        <f>TRUNC((ABS(E19)-ABS(B19))*60)</f>
        <v>0</v>
      </c>
      <c r="D19" s="419">
        <f>((ABS(E19))*3600)-(C19*60)-(ABS(B19)*3600)</f>
        <v>6.2591107316506172</v>
      </c>
      <c r="E19" s="306">
        <f>E_N_to_t_minus_T(East2,North2,East1,North1,a,b,E0,N0,F0,DecimalPHI0)</f>
        <v>-1.7386418699029491E-3</v>
      </c>
      <c r="F19" s="3"/>
      <c r="G19" s="22" t="s">
        <v>109</v>
      </c>
    </row>
    <row r="20" spans="1:7" x14ac:dyDescent="0.25">
      <c r="G20" s="2" t="s">
        <v>147</v>
      </c>
    </row>
    <row r="21" spans="1:7" x14ac:dyDescent="0.25">
      <c r="E21" s="308"/>
      <c r="G21" s="22" t="s">
        <v>89</v>
      </c>
    </row>
    <row r="23" spans="1:7" x14ac:dyDescent="0.25">
      <c r="A23" s="67" t="s">
        <v>11</v>
      </c>
    </row>
    <row r="24" spans="1:7" x14ac:dyDescent="0.25">
      <c r="A24" s="66" t="s">
        <v>80</v>
      </c>
    </row>
  </sheetData>
  <sheetProtection sheet="1" objects="1" scenarios="1"/>
  <mergeCells count="1">
    <mergeCell ref="A1:F1"/>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1"/>
  <sheetViews>
    <sheetView workbookViewId="0">
      <selection sqref="A1:F1"/>
    </sheetView>
  </sheetViews>
  <sheetFormatPr defaultRowHeight="15" x14ac:dyDescent="0.25"/>
  <cols>
    <col min="1" max="1" width="18.42578125" style="44" customWidth="1"/>
    <col min="2" max="2" width="13.42578125" style="44" customWidth="1"/>
    <col min="3" max="3" width="8" style="44" customWidth="1"/>
    <col min="4" max="4" width="15.140625" style="44" customWidth="1"/>
    <col min="5" max="5" width="15.28515625" style="44" bestFit="1" customWidth="1"/>
    <col min="6" max="6" width="12.28515625" style="44" customWidth="1"/>
    <col min="7" max="16384" width="9.140625" style="44"/>
  </cols>
  <sheetData>
    <row r="1" spans="1:7" x14ac:dyDescent="0.25">
      <c r="A1" s="501" t="s">
        <v>81</v>
      </c>
      <c r="B1" s="501"/>
      <c r="C1" s="501"/>
      <c r="D1" s="501"/>
      <c r="E1" s="501"/>
      <c r="F1" s="501"/>
    </row>
    <row r="2" spans="1:7" ht="15.75" thickBot="1" x14ac:dyDescent="0.3"/>
    <row r="3" spans="1:7" x14ac:dyDescent="0.25">
      <c r="A3" s="74" t="s">
        <v>20</v>
      </c>
      <c r="B3" s="75">
        <f>East1</f>
        <v>651409.90300000005</v>
      </c>
      <c r="C3" s="82"/>
      <c r="D3" s="82"/>
      <c r="E3" s="82"/>
      <c r="F3" s="82"/>
      <c r="G3" s="2" t="s">
        <v>29</v>
      </c>
    </row>
    <row r="4" spans="1:7" ht="15.75" thickBot="1" x14ac:dyDescent="0.3">
      <c r="A4" s="77" t="s">
        <v>23</v>
      </c>
      <c r="B4" s="78">
        <f>North1</f>
        <v>313177.27</v>
      </c>
      <c r="C4" s="82"/>
      <c r="D4" s="82"/>
      <c r="E4" s="82"/>
      <c r="F4" s="82"/>
    </row>
    <row r="5" spans="1:7" x14ac:dyDescent="0.25">
      <c r="A5" s="81" t="s">
        <v>24</v>
      </c>
      <c r="B5" s="75">
        <f>East2</f>
        <v>626238.24899999995</v>
      </c>
      <c r="C5" s="82"/>
      <c r="D5" s="82"/>
      <c r="E5" s="82"/>
      <c r="F5" s="82"/>
    </row>
    <row r="6" spans="1:7" ht="15.75" thickBot="1" x14ac:dyDescent="0.3">
      <c r="A6" s="77" t="s">
        <v>25</v>
      </c>
      <c r="B6" s="78">
        <f>North2</f>
        <v>302646.41499999998</v>
      </c>
      <c r="C6" s="82"/>
      <c r="D6" s="82"/>
      <c r="E6" s="82"/>
      <c r="F6" s="82"/>
    </row>
    <row r="7" spans="1:7" ht="15.75" thickBot="1" x14ac:dyDescent="0.3">
      <c r="A7" s="38"/>
      <c r="B7" s="21" t="s">
        <v>1</v>
      </c>
      <c r="C7" s="27" t="s">
        <v>2</v>
      </c>
      <c r="D7" s="21" t="s">
        <v>3</v>
      </c>
      <c r="E7" s="32" t="s">
        <v>15</v>
      </c>
      <c r="F7" s="21" t="s">
        <v>16</v>
      </c>
      <c r="G7" s="53"/>
    </row>
    <row r="8" spans="1:7" ht="18" thickBot="1" x14ac:dyDescent="0.35">
      <c r="A8" s="83" t="s">
        <v>82</v>
      </c>
      <c r="B8" s="417">
        <f>ABS(TRUNC(E8))</f>
        <v>250</v>
      </c>
      <c r="C8" s="88">
        <f>TRUNC((ABS(E8)-B8)*60)</f>
        <v>15</v>
      </c>
      <c r="D8" s="469">
        <f>((E8)*3600)-(C8*60)-(B8*3600)</f>
        <v>10.839514839812182</v>
      </c>
      <c r="E8" s="45">
        <f>DEGREES(F8)</f>
        <v>250.2530109763444</v>
      </c>
      <c r="F8" s="45">
        <f>IF((F9+F10-F11)&lt;0,(2*PI())+(F9+F10-F11),IF((F9+F10-F11)&gt;(2*PI()),(F9+F10-F11)-(2*PI()),(F9+F10-F11)))</f>
        <v>4.3677390045667188</v>
      </c>
      <c r="G8" s="2" t="s">
        <v>31</v>
      </c>
    </row>
    <row r="9" spans="1:7" ht="16.5" x14ac:dyDescent="0.3">
      <c r="A9" s="50" t="s">
        <v>83</v>
      </c>
      <c r="B9" s="51">
        <f>ABS(TRUNC(E9))</f>
        <v>247</v>
      </c>
      <c r="C9" s="51">
        <f>TRUNC((ABS(E9)-B9)*60)</f>
        <v>17</v>
      </c>
      <c r="D9" s="166">
        <f>((ABS(E9))*3600)-(C9*60)-(B9*3600)</f>
        <v>50.766310780541971</v>
      </c>
      <c r="E9" s="51">
        <f>DEGREES(F9)</f>
        <v>247.29743508632794</v>
      </c>
      <c r="F9" s="51">
        <f>IF(East2-East1&gt;0,(PI()/2)-((ATAN((North2-North1)/(East2-East1)))),IF(East2-East1&lt;0,((3*PI())/2)-((ATAN((North2-North1)/(East2-East1)))),IF(North2-North1&lt;0,PI(),0)))</f>
        <v>4.3161544739933699</v>
      </c>
      <c r="G9" s="2" t="s">
        <v>49</v>
      </c>
    </row>
    <row r="10" spans="1:7" ht="16.5" x14ac:dyDescent="0.3">
      <c r="A10" s="50" t="s">
        <v>84</v>
      </c>
      <c r="B10" s="50">
        <f>IF(E10&gt;=0,TRUNC(E10),"-"&amp;ABS(TRUNC(E10)))</f>
        <v>2</v>
      </c>
      <c r="C10" s="51">
        <f>TRUNC((ABS(E10)-ABS(B10))*60)</f>
        <v>57</v>
      </c>
      <c r="D10" s="166">
        <f>((ABS(E10))*3600)-(C10*60)-(ABS(B10)*3600)</f>
        <v>26.556146604494643</v>
      </c>
      <c r="E10" s="51">
        <f>DEGREES(F10)</f>
        <v>2.9573767073901376</v>
      </c>
      <c r="F10" s="51">
        <f>(Et*XVI)-((Et^3)*XVII)+((Et^5)*XVIII)</f>
        <v>5.1615960765746823E-2</v>
      </c>
      <c r="G10" s="53"/>
    </row>
    <row r="11" spans="1:7" ht="16.5" x14ac:dyDescent="0.3">
      <c r="A11" s="49" t="s">
        <v>85</v>
      </c>
      <c r="B11" s="111">
        <f>IF(E11&gt;=0,TRUNC(E11),"-"&amp;ABS(TRUNC(E11)))</f>
        <v>0</v>
      </c>
      <c r="C11" s="48">
        <f>TRUNC((ABS(E11)-ABS(B11))*60)</f>
        <v>0</v>
      </c>
      <c r="D11" s="167">
        <f>((ABS(E11))*3600)-(C11*60)-(ABS(B11)*3600)</f>
        <v>6.482942545223036</v>
      </c>
      <c r="E11" s="52">
        <f>DEGREES(F11)</f>
        <v>1.8008173736730655E-3</v>
      </c>
      <c r="F11" s="52">
        <f>((2*(East1-E0))+(East2-E0))*(North1-North2)*XXIII</f>
        <v>3.1430192397712043E-5</v>
      </c>
      <c r="G11" s="53"/>
    </row>
    <row r="12" spans="1:7" ht="15.75" thickBot="1" x14ac:dyDescent="0.3"/>
    <row r="13" spans="1:7" ht="18" thickBot="1" x14ac:dyDescent="0.35">
      <c r="A13" s="83" t="s">
        <v>82</v>
      </c>
      <c r="B13" s="420">
        <f>TRUNC(E13)</f>
        <v>250</v>
      </c>
      <c r="C13" s="421">
        <f>TRUNC((ABS(E13)-ABS(B13))*60)</f>
        <v>15</v>
      </c>
      <c r="D13" s="422">
        <f>((ABS(E13))*3600)-(C13*60)-(ABS(B13)*3600)</f>
        <v>10.839514839812182</v>
      </c>
      <c r="E13" s="307">
        <f>TrueAzimuth(East1,North1,East2,North2,a,b,E0,N0,F0,DecimalPHI0)</f>
        <v>250.2530109763444</v>
      </c>
      <c r="F13" s="52"/>
      <c r="G13" s="2" t="s">
        <v>195</v>
      </c>
    </row>
    <row r="14" spans="1:7" x14ac:dyDescent="0.25">
      <c r="G14" s="22" t="s">
        <v>109</v>
      </c>
    </row>
    <row r="15" spans="1:7" x14ac:dyDescent="0.25">
      <c r="G15" s="2" t="s">
        <v>147</v>
      </c>
    </row>
    <row r="16" spans="1:7" x14ac:dyDescent="0.25">
      <c r="G16" s="22" t="s">
        <v>89</v>
      </c>
    </row>
    <row r="18" spans="1:6" x14ac:dyDescent="0.25">
      <c r="A18" s="68" t="s">
        <v>11</v>
      </c>
    </row>
    <row r="19" spans="1:6" x14ac:dyDescent="0.25">
      <c r="A19" s="44" t="s">
        <v>86</v>
      </c>
    </row>
    <row r="20" spans="1:6" x14ac:dyDescent="0.25">
      <c r="A20" s="44" t="s">
        <v>87</v>
      </c>
    </row>
    <row r="21" spans="1:6" x14ac:dyDescent="0.25">
      <c r="F21" s="303"/>
    </row>
  </sheetData>
  <sheetProtection sheet="1" objects="1" scenarios="1"/>
  <mergeCells count="1">
    <mergeCell ref="A1:F1"/>
  </mergeCells>
  <phoneticPr fontId="0" type="noConversion"/>
  <printOptions gridLines="1" gridLinesSet="0"/>
  <pageMargins left="0.75" right="0.75" top="1" bottom="1" header="0.5" footer="0.5"/>
  <pageSetup paperSize="9" orientation="portrait" horizontalDpi="300" verticalDpi="300"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69</vt:i4>
      </vt:variant>
    </vt:vector>
  </HeadingPairs>
  <TitlesOfParts>
    <vt:vector size="85" baseType="lpstr">
      <vt:lpstr>INTRODUCTION</vt:lpstr>
      <vt:lpstr>Constants</vt:lpstr>
      <vt:lpstr>Enter coordinates here</vt:lpstr>
      <vt:lpstr>Lat &amp; Long Format Conversions</vt:lpstr>
      <vt:lpstr>Helmert Transformation</vt:lpstr>
      <vt:lpstr>XYZ to lat,long,H</vt:lpstr>
      <vt:lpstr>lat,long to E,N</vt:lpstr>
      <vt:lpstr>E,N to lat,long</vt:lpstr>
      <vt:lpstr>lat,long,H to XYZ</vt:lpstr>
      <vt:lpstr>UD Funcs Tranformation Example</vt:lpstr>
      <vt:lpstr>convergence from lat &amp; long</vt:lpstr>
      <vt:lpstr>convergence from E,N</vt:lpstr>
      <vt:lpstr>local scale factor from lat,lon</vt:lpstr>
      <vt:lpstr>local &amp; line sf from E,N</vt:lpstr>
      <vt:lpstr>t-T correction from E,N</vt:lpstr>
      <vt:lpstr>true azimuth from E,N</vt:lpstr>
      <vt:lpstr>a</vt:lpstr>
      <vt:lpstr>aFo</vt:lpstr>
      <vt:lpstr>b</vt:lpstr>
      <vt:lpstr>bFo</vt:lpstr>
      <vt:lpstr>CartesianX</vt:lpstr>
      <vt:lpstr>CartesianY</vt:lpstr>
      <vt:lpstr>CartesianZ</vt:lpstr>
      <vt:lpstr>DecimalLAM0</vt:lpstr>
      <vt:lpstr>DecimalLat</vt:lpstr>
      <vt:lpstr>DecimalLong</vt:lpstr>
      <vt:lpstr>DecimalPHI0</vt:lpstr>
      <vt:lpstr>DX</vt:lpstr>
      <vt:lpstr>DY</vt:lpstr>
      <vt:lpstr>DZ</vt:lpstr>
      <vt:lpstr>e_squared</vt:lpstr>
      <vt:lpstr>E0</vt:lpstr>
      <vt:lpstr>East1</vt:lpstr>
      <vt:lpstr>East2</vt:lpstr>
      <vt:lpstr>EllHeight</vt:lpstr>
      <vt:lpstr>Et</vt:lpstr>
      <vt:lpstr>eta2</vt:lpstr>
      <vt:lpstr>eta2PL</vt:lpstr>
      <vt:lpstr>F0</vt:lpstr>
      <vt:lpstr>H_Matrix</vt:lpstr>
      <vt:lpstr>I</vt:lpstr>
      <vt:lpstr>II</vt:lpstr>
      <vt:lpstr>III</vt:lpstr>
      <vt:lpstr>IIIA</vt:lpstr>
      <vt:lpstr>InitialPHI</vt:lpstr>
      <vt:lpstr>IV</vt:lpstr>
      <vt:lpstr>IX</vt:lpstr>
      <vt:lpstr>LAM</vt:lpstr>
      <vt:lpstr>LAM0</vt:lpstr>
      <vt:lpstr>M</vt:lpstr>
      <vt:lpstr>n</vt:lpstr>
      <vt:lpstr>N0</vt:lpstr>
      <vt:lpstr>Nm</vt:lpstr>
      <vt:lpstr>North1</vt:lpstr>
      <vt:lpstr>North2</vt:lpstr>
      <vt:lpstr>nu</vt:lpstr>
      <vt:lpstr>nuPL</vt:lpstr>
      <vt:lpstr>P</vt:lpstr>
      <vt:lpstr>PHI</vt:lpstr>
      <vt:lpstr>PHI0</vt:lpstr>
      <vt:lpstr>rho</vt:lpstr>
      <vt:lpstr>rhoPL</vt:lpstr>
      <vt:lpstr>Scale</vt:lpstr>
      <vt:lpstr>V</vt:lpstr>
      <vt:lpstr>VI</vt:lpstr>
      <vt:lpstr>VII</vt:lpstr>
      <vt:lpstr>VIII</vt:lpstr>
      <vt:lpstr>X</vt:lpstr>
      <vt:lpstr>X_Rotation</vt:lpstr>
      <vt:lpstr>XI</vt:lpstr>
      <vt:lpstr>XII</vt:lpstr>
      <vt:lpstr>XIIA</vt:lpstr>
      <vt:lpstr>XIII</vt:lpstr>
      <vt:lpstr>XIV</vt:lpstr>
      <vt:lpstr>XIX</vt:lpstr>
      <vt:lpstr>XV</vt:lpstr>
      <vt:lpstr>XVI</vt:lpstr>
      <vt:lpstr>XVII</vt:lpstr>
      <vt:lpstr>XVIII</vt:lpstr>
      <vt:lpstr>XX</vt:lpstr>
      <vt:lpstr>XXI</vt:lpstr>
      <vt:lpstr>XXII</vt:lpstr>
      <vt:lpstr>XXIII</vt:lpstr>
      <vt:lpstr>Y_Rotation</vt:lpstr>
      <vt:lpstr>Z_Rotation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Abhijeet Ingale</cp:lastModifiedBy>
  <dcterms:created xsi:type="dcterms:W3CDTF">1999-02-03T11:35:35Z</dcterms:created>
  <dcterms:modified xsi:type="dcterms:W3CDTF">2018-03-27T13:45:01Z</dcterms:modified>
</cp:coreProperties>
</file>